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Bocchio\Desktop\"/>
    </mc:Choice>
  </mc:AlternateContent>
  <xr:revisionPtr revIDLastSave="0" documentId="13_ncr:1_{131FE27B-22E2-4790-A634-D3071962033F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Prospetto_totale" sheetId="1" r:id="rId1"/>
    <sheet name="Prospetto_parziale" sheetId="3" r:id="rId2"/>
    <sheet name="calcolo" sheetId="2" state="hidden" r:id="rId3"/>
  </sheets>
  <definedNames>
    <definedName name="_xlnm.Print_Area" localSheetId="1">Prospetto_parziale!$A$1:$J$11</definedName>
    <definedName name="_xlnm.Print_Area" localSheetId="0">Prospetto_totale!$A$1:$V$42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0" i="3" l="1"/>
  <c r="B10" i="3"/>
  <c r="I23" i="2" l="1"/>
  <c r="I24" i="2"/>
  <c r="I25" i="2"/>
  <c r="I26" i="2"/>
  <c r="I22" i="2"/>
  <c r="C24" i="2"/>
  <c r="J28" i="1" l="1"/>
  <c r="D28" i="1"/>
  <c r="C26" i="2"/>
  <c r="C25" i="2"/>
  <c r="C22" i="2"/>
  <c r="U8" i="1" l="1"/>
  <c r="U11" i="1"/>
  <c r="U12" i="1"/>
  <c r="U13" i="1"/>
  <c r="U10" i="1"/>
  <c r="C23" i="2" l="1"/>
  <c r="C27" i="2" s="1"/>
  <c r="J24" i="2"/>
  <c r="P28" i="1"/>
  <c r="K24" i="2" s="1"/>
  <c r="N7" i="2" l="1"/>
  <c r="O7" i="2" s="1"/>
  <c r="U9" i="1"/>
  <c r="G2" i="3" l="1"/>
  <c r="G5" i="3" s="1"/>
  <c r="N9" i="2" l="1"/>
  <c r="N11" i="2" s="1"/>
  <c r="D7" i="3" s="1"/>
  <c r="O9" i="2"/>
  <c r="O11" i="2" s="1"/>
  <c r="G7" i="3" s="1"/>
</calcChain>
</file>

<file path=xl/sharedStrings.xml><?xml version="1.0" encoding="utf-8"?>
<sst xmlns="http://schemas.openxmlformats.org/spreadsheetml/2006/main" count="122" uniqueCount="77">
  <si>
    <t xml:space="preserve"> mq.</t>
  </si>
  <si>
    <t>mq.</t>
  </si>
  <si>
    <t>Sanitari e relativi accessori integri ed in buono stato di manutenzione, al momento della sottoscrizione del contratto</t>
  </si>
  <si>
    <t>Area verde e/o cortile comune, di almeno mq. 30 complessivi usufruibili</t>
  </si>
  <si>
    <t>Porta blindata</t>
  </si>
  <si>
    <t>Impianto TV canalizzato</t>
  </si>
  <si>
    <t>Ascensore</t>
  </si>
  <si>
    <t>Doppi servizi</t>
  </si>
  <si>
    <t>Impianto di climatizzazione estiva o raffrescamento</t>
  </si>
  <si>
    <t>Appartamento sito in immobile con non più di 6 unità</t>
  </si>
  <si>
    <t xml:space="preserve"> Sistema di allarme o inferriate di sicurezza</t>
  </si>
  <si>
    <t>Terrazza/balcone</t>
  </si>
  <si>
    <t>Dotazione di impianto a pompa di calore e/o geotermico e/o fotovoltaico</t>
  </si>
  <si>
    <t xml:space="preserve">FASCIA DI APPARTENENZA: </t>
  </si>
  <si>
    <t xml:space="preserve">parametri da 1 a 7 e di n. </t>
  </si>
  <si>
    <t>parametri da 8 a 13 o di n.</t>
  </si>
  <si>
    <t>Autorimessa e/o posto auto coperto e/o posto auto scoperto</t>
  </si>
  <si>
    <t>Sottotetto e/o soffitta e/o cantina in uso esclusivo</t>
  </si>
  <si>
    <t>Maggiorazione per immobile storico:</t>
  </si>
  <si>
    <t>Maggiorazione per presenza di arredamento sufficiente alla vivibilità:</t>
  </si>
  <si>
    <t>Maggiorazione per classe energetica:</t>
  </si>
  <si>
    <t>Maggiorazione per durata contrattuale superiore ad anni tre:</t>
  </si>
  <si>
    <t>Superficie calpestabile appartamento:</t>
  </si>
  <si>
    <t>Maggiorazione per superficie inferiore o uguale a mq. 60:</t>
  </si>
  <si>
    <t>Autorimessa singola:</t>
  </si>
  <si>
    <t>Posto auto in autorimessa comune:</t>
  </si>
  <si>
    <t>Balconi, terrazzi, cantine, solai e posti auto scoperti in uso esclusivo:</t>
  </si>
  <si>
    <t>Area scoperta di pertinenza esclusiva:</t>
  </si>
  <si>
    <t>(</t>
  </si>
  <si>
    <t>Servizi igienici non interni all’abitazione</t>
  </si>
  <si>
    <t>Max</t>
  </si>
  <si>
    <t>Mid</t>
  </si>
  <si>
    <t>Min</t>
  </si>
  <si>
    <t>(anni 4)</t>
  </si>
  <si>
    <t>(anni 5)</t>
  </si>
  <si>
    <t>(anni 6 e oltre)</t>
  </si>
  <si>
    <t>(fascia A)</t>
  </si>
  <si>
    <t>(fascia B)</t>
  </si>
  <si>
    <t>(fascia C)</t>
  </si>
  <si>
    <t>(fascia D)</t>
  </si>
  <si>
    <t>(fascia E)</t>
  </si>
  <si>
    <t>Microzona</t>
  </si>
  <si>
    <t>Media</t>
  </si>
  <si>
    <t>Massima</t>
  </si>
  <si>
    <t>Immobili fino a 60 mq.</t>
  </si>
  <si>
    <t>Immobili oltre a 60 mq.</t>
  </si>
  <si>
    <t>Fasce</t>
  </si>
  <si>
    <t>Prezzi senza maggiorazioni</t>
  </si>
  <si>
    <t>Prezzi con maggiorazioni</t>
  </si>
  <si>
    <t>-</t>
  </si>
  <si>
    <t>Unità abitativa sita a Como in Via/P.za ……………….….. n. ….., piano …. int. ……</t>
  </si>
  <si>
    <t>TOTALE SUPERFICIE CONVENZIONALE</t>
  </si>
  <si>
    <t>ELEMENTI OGGETTIVI DI CLASSIFICAZIONE</t>
  </si>
  <si>
    <t>Riduzione per riscaldamento fornito unicamente da stufette elettriche o a combustibile liquido:</t>
  </si>
  <si>
    <t>Presenza di n.</t>
  </si>
  <si>
    <t>ELEMENTI DI MAGGIORAZIONE / RIDUZIONE</t>
  </si>
  <si>
    <t xml:space="preserve"> parametri da 1 a 13</t>
  </si>
  <si>
    <t>% )</t>
  </si>
  <si>
    <t>PROSPETTO DI CALCOLO DEL CANONE DI LOCAZIONE IN BASE ALL'ACCORDO TERRITORIALE PER IL COMUNE DI COMO DEPOSITATO IL 06 OTTOBRE 2020</t>
  </si>
  <si>
    <t>Minima</t>
  </si>
  <si>
    <t>PIANO N.</t>
  </si>
  <si>
    <t>MICROZONA  N.</t>
  </si>
  <si>
    <t>CALCOLO SUPERFICIE CONVENZIONALE</t>
  </si>
  <si>
    <t>CANONE MENSILE:</t>
  </si>
  <si>
    <t>minimo</t>
  </si>
  <si>
    <t>massimo</t>
  </si>
  <si>
    <t>Attivare macro, salvare, e riaprire il programma</t>
  </si>
  <si>
    <t>Per un corretto funzionamento, ATTIVARE LE MACRO al primo avvio</t>
  </si>
  <si>
    <t>PROSPETTO DI CALCOLO PER LOCAZIONI PARZIALI</t>
  </si>
  <si>
    <t>Superficie complessiva dell'unità abitativa</t>
  </si>
  <si>
    <t>Superficie in uso esclusivo al conduttore</t>
  </si>
  <si>
    <t>Superficie in uso esclusivo ad altri conduttori</t>
  </si>
  <si>
    <t>Superficie in uso condiviso tra tutti i conduttori</t>
  </si>
  <si>
    <t>I dati sopra riportati sono stati forniti dal locatore.</t>
  </si>
  <si>
    <t>Como, lì</t>
  </si>
  <si>
    <t>………………………………........….</t>
  </si>
  <si>
    <t>L'agenzia immobiliare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</si>
</sst>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[$€-410]_-;\-* #,##0.00\ [$€-410]_-;_-* &quot;-&quot;??\ [$€-410]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6">
    <xf numFmtId="0" fontId="0" fillId="0" borderId="0" xfId="0"/>
    <xf numFmtId="0" fontId="0" fillId="0" borderId="0" xfId="0" applyFont="1" applyProtection="1">
      <protection hidden="1"/>
    </xf>
    <xf numFmtId="0" fontId="0" fillId="0" borderId="0" xfId="0" applyAlignment="1" applyProtection="1">
      <protection hidden="1"/>
    </xf>
    <xf numFmtId="0" fontId="0" fillId="0" borderId="0" xfId="0" applyNumberFormat="1" applyProtection="1">
      <protection hidden="1"/>
    </xf>
    <xf numFmtId="0" fontId="0" fillId="0" borderId="0" xfId="0" applyNumberFormat="1" applyFont="1" applyProtection="1">
      <protection hidden="1"/>
    </xf>
    <xf numFmtId="0" fontId="0" fillId="0" borderId="0" xfId="0" applyNumberFormat="1" applyBorder="1" applyProtection="1">
      <protection hidden="1"/>
    </xf>
    <xf numFmtId="0" fontId="0" fillId="0" borderId="0" xfId="0" applyNumberFormat="1" applyFont="1" applyAlignment="1" applyProtection="1">
      <alignment vertical="top"/>
      <protection hidden="1"/>
    </xf>
    <xf numFmtId="0" fontId="0" fillId="0" borderId="0" xfId="0" applyNumberFormat="1" applyAlignment="1" applyProtection="1">
      <alignment vertical="center"/>
      <protection hidden="1"/>
    </xf>
    <xf numFmtId="0" fontId="0" fillId="0" borderId="0" xfId="0" applyNumberFormat="1" applyAlignment="1" applyProtection="1">
      <protection hidden="1"/>
    </xf>
    <xf numFmtId="0" fontId="0" fillId="0" borderId="0" xfId="0" applyNumberFormat="1" applyAlignment="1" applyProtection="1">
      <alignment horizontal="center" vertical="top"/>
      <protection hidden="1"/>
    </xf>
    <xf numFmtId="0" fontId="0" fillId="0" borderId="0" xfId="1" applyNumberFormat="1" applyFont="1" applyProtection="1">
      <protection hidden="1"/>
    </xf>
    <xf numFmtId="0" fontId="3" fillId="0" borderId="0" xfId="0" applyNumberFormat="1" applyFont="1" applyProtection="1">
      <protection hidden="1"/>
    </xf>
    <xf numFmtId="0" fontId="3" fillId="0" borderId="0" xfId="0" applyNumberFormat="1" applyFont="1" applyAlignment="1" applyProtection="1">
      <alignment vertical="center"/>
      <protection hidden="1"/>
    </xf>
    <xf numFmtId="0" fontId="0" fillId="0" borderId="0" xfId="0" applyNumberFormat="1" applyProtection="1">
      <protection locked="0" hidden="1"/>
    </xf>
    <xf numFmtId="0" fontId="4" fillId="0" borderId="3" xfId="0" applyFont="1" applyBorder="1" applyAlignment="1" applyProtection="1">
      <alignment horizontal="right" vertical="top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3" fillId="0" borderId="7" xfId="0" applyFont="1" applyBorder="1" applyAlignment="1" applyProtection="1">
      <alignment horizontal="right"/>
      <protection hidden="1"/>
    </xf>
    <xf numFmtId="0" fontId="4" fillId="0" borderId="1" xfId="0" applyFont="1" applyBorder="1" applyAlignment="1" applyProtection="1">
      <alignment horizontal="right" vertical="top"/>
      <protection hidden="1"/>
    </xf>
    <xf numFmtId="0" fontId="3" fillId="0" borderId="10" xfId="0" applyFont="1" applyBorder="1" applyAlignment="1" applyProtection="1">
      <alignment horizontal="left" vertical="top"/>
      <protection hidden="1"/>
    </xf>
    <xf numFmtId="0" fontId="3" fillId="0" borderId="9" xfId="0" applyFont="1" applyBorder="1" applyAlignment="1" applyProtection="1">
      <alignment horizontal="right"/>
      <protection hidden="1"/>
    </xf>
    <xf numFmtId="0" fontId="4" fillId="0" borderId="10" xfId="0" applyFont="1" applyBorder="1" applyAlignment="1" applyProtection="1">
      <alignment horizontal="right" vertical="top"/>
      <protection hidden="1"/>
    </xf>
    <xf numFmtId="0" fontId="0" fillId="0" borderId="0" xfId="1" applyNumberFormat="1" applyFont="1" applyAlignment="1" applyProtection="1">
      <alignment vertical="center"/>
      <protection hidden="1"/>
    </xf>
    <xf numFmtId="0" fontId="0" fillId="0" borderId="0" xfId="0" applyNumberFormat="1" applyAlignment="1" applyProtection="1">
      <alignment horizontal="right"/>
      <protection locked="0" hidden="1"/>
    </xf>
    <xf numFmtId="0" fontId="0" fillId="0" borderId="0" xfId="0" applyNumberFormat="1" applyAlignment="1" applyProtection="1">
      <alignment horizontal="center" vertical="center"/>
      <protection hidden="1"/>
    </xf>
    <xf numFmtId="0" fontId="0" fillId="0" borderId="12" xfId="0" applyNumberFormat="1" applyBorder="1" applyProtection="1">
      <protection hidden="1"/>
    </xf>
    <xf numFmtId="0" fontId="0" fillId="0" borderId="0" xfId="0" applyNumberFormat="1" applyAlignment="1" applyProtection="1">
      <alignment horizontal="left"/>
      <protection hidden="1"/>
    </xf>
    <xf numFmtId="0" fontId="0" fillId="0" borderId="0" xfId="0" applyNumberFormat="1" applyAlignment="1" applyProtection="1">
      <alignment vertical="center" wrapText="1"/>
      <protection hidden="1"/>
    </xf>
    <xf numFmtId="0" fontId="0" fillId="0" borderId="0" xfId="0" applyNumberFormat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0" fontId="7" fillId="0" borderId="0" xfId="0" applyFont="1" applyAlignment="1" applyProtection="1">
      <alignment vertical="center"/>
      <protection hidden="1"/>
    </xf>
    <xf numFmtId="0" fontId="4" fillId="0" borderId="9" xfId="0" applyFont="1" applyBorder="1" applyAlignment="1" applyProtection="1">
      <alignment horizontal="center" vertical="center"/>
      <protection hidden="1"/>
    </xf>
    <xf numFmtId="0" fontId="4" fillId="0" borderId="10" xfId="0" applyFont="1" applyBorder="1" applyAlignment="1" applyProtection="1">
      <alignment vertical="top" wrapText="1"/>
      <protection hidden="1"/>
    </xf>
    <xf numFmtId="0" fontId="4" fillId="0" borderId="9" xfId="0" applyFont="1" applyBorder="1" applyAlignment="1" applyProtection="1">
      <alignment horizontal="center" vertical="center" wrapText="1"/>
      <protection hidden="1"/>
    </xf>
    <xf numFmtId="0" fontId="4" fillId="0" borderId="11" xfId="0" applyFont="1" applyBorder="1" applyAlignment="1" applyProtection="1">
      <alignment vertical="top"/>
      <protection hidden="1"/>
    </xf>
    <xf numFmtId="0" fontId="4" fillId="0" borderId="11" xfId="0" applyFont="1" applyBorder="1" applyAlignment="1" applyProtection="1">
      <alignment vertical="top" wrapText="1"/>
      <protection hidden="1"/>
    </xf>
    <xf numFmtId="0" fontId="4" fillId="0" borderId="8" xfId="0" applyFont="1" applyBorder="1" applyAlignment="1" applyProtection="1">
      <alignment vertical="top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0" fontId="4" fillId="0" borderId="11" xfId="0" applyFont="1" applyBorder="1" applyProtection="1">
      <protection hidden="1"/>
    </xf>
    <xf numFmtId="0" fontId="4" fillId="0" borderId="11" xfId="0" applyFont="1" applyBorder="1" applyAlignment="1" applyProtection="1">
      <protection hidden="1"/>
    </xf>
    <xf numFmtId="0" fontId="4" fillId="0" borderId="8" xfId="0" applyFont="1" applyBorder="1" applyAlignment="1" applyProtection="1">
      <alignment vertical="top" wrapText="1"/>
      <protection hidden="1"/>
    </xf>
    <xf numFmtId="0" fontId="3" fillId="0" borderId="3" xfId="0" applyFont="1" applyBorder="1" applyAlignment="1" applyProtection="1">
      <alignment horizontal="right"/>
      <protection hidden="1"/>
    </xf>
    <xf numFmtId="0" fontId="3" fillId="0" borderId="1" xfId="0" applyFont="1" applyBorder="1" applyAlignment="1" applyProtection="1">
      <alignment horizontal="left" vertical="top"/>
      <protection hidden="1"/>
    </xf>
    <xf numFmtId="14" fontId="0" fillId="0" borderId="0" xfId="0" applyNumberFormat="1" applyProtection="1">
      <protection hidden="1"/>
    </xf>
    <xf numFmtId="0" fontId="11" fillId="0" borderId="0" xfId="0" applyNumberFormat="1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2" fontId="0" fillId="0" borderId="0" xfId="0" applyNumberFormat="1" applyProtection="1">
      <protection hidden="1"/>
    </xf>
    <xf numFmtId="0" fontId="0" fillId="0" borderId="1" xfId="0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left" vertical="center"/>
      <protection locked="0"/>
    </xf>
    <xf numFmtId="2" fontId="1" fillId="0" borderId="16" xfId="0" applyNumberFormat="1" applyFont="1" applyBorder="1" applyAlignment="1" applyProtection="1">
      <alignment horizontal="center"/>
      <protection hidden="1"/>
    </xf>
    <xf numFmtId="0" fontId="0" fillId="0" borderId="0" xfId="0" applyNumberFormat="1" applyProtection="1">
      <protection locked="0"/>
    </xf>
    <xf numFmtId="0" fontId="3" fillId="0" borderId="1" xfId="0" applyFont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 vertical="center"/>
      <protection hidden="1"/>
    </xf>
    <xf numFmtId="0" fontId="0" fillId="0" borderId="0" xfId="0" applyAlignment="1" applyProtection="1">
      <alignment vertical="center" wrapText="1"/>
      <protection hidden="1"/>
    </xf>
    <xf numFmtId="14" fontId="0" fillId="0" borderId="0" xfId="0" applyNumberFormat="1" applyAlignment="1" applyProtection="1">
      <alignment vertical="center" wrapText="1"/>
      <protection hidden="1"/>
    </xf>
    <xf numFmtId="0" fontId="0" fillId="0" borderId="0" xfId="0" applyAlignment="1" applyProtection="1">
      <alignment wrapText="1"/>
      <protection hidden="1"/>
    </xf>
    <xf numFmtId="0" fontId="10" fillId="0" borderId="18" xfId="0" applyFont="1" applyBorder="1" applyAlignment="1" applyProtection="1">
      <alignment horizontal="right"/>
      <protection hidden="1"/>
    </xf>
    <xf numFmtId="164" fontId="1" fillId="0" borderId="19" xfId="0" applyNumberFormat="1" applyFont="1" applyBorder="1" applyAlignment="1" applyProtection="1">
      <alignment vertical="center" wrapText="1"/>
      <protection hidden="1"/>
    </xf>
    <xf numFmtId="0" fontId="0" fillId="0" borderId="0" xfId="0" applyBorder="1"/>
    <xf numFmtId="2" fontId="1" fillId="0" borderId="0" xfId="0" applyNumberFormat="1" applyFont="1" applyBorder="1" applyAlignment="1" applyProtection="1">
      <alignment vertical="center" wrapText="1"/>
      <protection hidden="1"/>
    </xf>
    <xf numFmtId="0" fontId="0" fillId="0" borderId="20" xfId="0" applyFont="1" applyBorder="1"/>
    <xf numFmtId="0" fontId="0" fillId="0" borderId="0" xfId="0" applyAlignment="1" applyProtection="1">
      <alignment horizontal="center" wrapText="1"/>
      <protection locked="0"/>
    </xf>
    <xf numFmtId="0" fontId="3" fillId="0" borderId="0" xfId="0" applyFont="1" applyAlignment="1" applyProtection="1">
      <alignment horizontal="justify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4" fontId="0" fillId="0" borderId="0" xfId="0" applyNumberFormat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hidden="1"/>
    </xf>
    <xf numFmtId="0" fontId="4" fillId="0" borderId="1" xfId="0" applyFont="1" applyBorder="1" applyAlignment="1" applyProtection="1">
      <alignment horizontal="left" vertical="center" wrapText="1"/>
      <protection hidden="1"/>
    </xf>
    <xf numFmtId="0" fontId="4" fillId="0" borderId="10" xfId="0" applyFont="1" applyBorder="1" applyAlignment="1" applyProtection="1">
      <alignment horizontal="left" vertical="center"/>
      <protection hidden="1"/>
    </xf>
    <xf numFmtId="2" fontId="0" fillId="0" borderId="1" xfId="0" applyNumberFormat="1" applyBorder="1" applyAlignment="1" applyProtection="1">
      <alignment horizontal="center" vertical="center"/>
      <protection hidden="1"/>
    </xf>
    <xf numFmtId="2" fontId="0" fillId="0" borderId="8" xfId="0" applyNumberFormat="1" applyBorder="1" applyAlignment="1" applyProtection="1">
      <alignment horizontal="center" vertical="center"/>
      <protection hidden="1"/>
    </xf>
    <xf numFmtId="0" fontId="4" fillId="0" borderId="6" xfId="0" applyFont="1" applyBorder="1" applyAlignment="1" applyProtection="1">
      <alignment horizontal="center" vertical="top" wrapText="1"/>
      <protection hidden="1"/>
    </xf>
    <xf numFmtId="0" fontId="4" fillId="0" borderId="8" xfId="0" applyFont="1" applyBorder="1" applyAlignment="1" applyProtection="1">
      <alignment horizontal="center" vertical="top" wrapText="1"/>
      <protection hidden="1"/>
    </xf>
    <xf numFmtId="0" fontId="4" fillId="0" borderId="2" xfId="0" applyFont="1" applyBorder="1" applyAlignment="1" applyProtection="1">
      <alignment horizontal="center" vertical="center"/>
      <protection hidden="1"/>
    </xf>
    <xf numFmtId="0" fontId="4" fillId="0" borderId="7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 vertical="center" wrapText="1"/>
      <protection hidden="1"/>
    </xf>
    <xf numFmtId="0" fontId="8" fillId="0" borderId="14" xfId="0" applyFont="1" applyBorder="1" applyAlignment="1" applyProtection="1">
      <alignment horizontal="center" vertical="center" wrapText="1"/>
      <protection hidden="1"/>
    </xf>
    <xf numFmtId="0" fontId="8" fillId="0" borderId="15" xfId="0" applyFont="1" applyBorder="1" applyAlignment="1" applyProtection="1">
      <alignment horizontal="center" vertical="center" wrapText="1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4" fillId="0" borderId="4" xfId="0" applyFont="1" applyBorder="1" applyAlignment="1" applyProtection="1">
      <alignment horizontal="center"/>
      <protection hidden="1"/>
    </xf>
    <xf numFmtId="0" fontId="4" fillId="0" borderId="8" xfId="0" applyFont="1" applyBorder="1" applyAlignment="1" applyProtection="1">
      <alignment horizontal="center"/>
      <protection hidden="1"/>
    </xf>
    <xf numFmtId="0" fontId="4" fillId="0" borderId="4" xfId="0" applyFont="1" applyBorder="1" applyAlignment="1" applyProtection="1">
      <alignment horizontal="center" vertical="top"/>
      <protection hidden="1"/>
    </xf>
    <xf numFmtId="0" fontId="4" fillId="0" borderId="6" xfId="0" applyFont="1" applyBorder="1" applyAlignment="1" applyProtection="1">
      <alignment horizontal="center" vertical="top"/>
      <protection hidden="1"/>
    </xf>
    <xf numFmtId="0" fontId="4" fillId="0" borderId="8" xfId="0" applyFont="1" applyBorder="1" applyAlignment="1" applyProtection="1">
      <alignment horizontal="center" vertical="top"/>
      <protection hidden="1"/>
    </xf>
    <xf numFmtId="0" fontId="4" fillId="0" borderId="4" xfId="0" applyFont="1" applyBorder="1" applyAlignment="1" applyProtection="1">
      <alignment horizontal="center" vertical="top" wrapText="1"/>
      <protection hidden="1"/>
    </xf>
    <xf numFmtId="0" fontId="1" fillId="0" borderId="1" xfId="0" applyFont="1" applyBorder="1" applyProtection="1">
      <protection hidden="1"/>
    </xf>
    <xf numFmtId="0" fontId="4" fillId="0" borderId="0" xfId="0" applyFont="1" applyBorder="1" applyAlignment="1" applyProtection="1">
      <alignment horizontal="left" vertical="center" wrapText="1"/>
      <protection hidden="1"/>
    </xf>
    <xf numFmtId="0" fontId="4" fillId="0" borderId="9" xfId="0" applyFont="1" applyBorder="1" applyAlignment="1" applyProtection="1">
      <alignment horizontal="left" vertical="center"/>
      <protection hidden="1"/>
    </xf>
    <xf numFmtId="0" fontId="4" fillId="0" borderId="7" xfId="0" applyFont="1" applyBorder="1" applyAlignment="1" applyProtection="1">
      <alignment horizontal="left" vertical="center"/>
      <protection hidden="1"/>
    </xf>
    <xf numFmtId="0" fontId="4" fillId="0" borderId="1" xfId="0" applyFont="1" applyBorder="1" applyAlignment="1" applyProtection="1">
      <alignment horizontal="left" vertical="center"/>
      <protection hidden="1"/>
    </xf>
    <xf numFmtId="0" fontId="1" fillId="0" borderId="3" xfId="0" applyFont="1" applyBorder="1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4" fillId="0" borderId="3" xfId="0" applyFont="1" applyBorder="1" applyAlignment="1" applyProtection="1">
      <alignment horizontal="center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left" vertical="top"/>
      <protection hidden="1"/>
    </xf>
    <xf numFmtId="0" fontId="3" fillId="0" borderId="0" xfId="0" applyFont="1" applyAlignment="1" applyProtection="1">
      <alignment horizontal="left"/>
      <protection hidden="1"/>
    </xf>
    <xf numFmtId="0" fontId="4" fillId="0" borderId="5" xfId="0" applyFont="1" applyBorder="1" applyAlignment="1" applyProtection="1">
      <alignment horizontal="center" vertical="center"/>
      <protection hidden="1"/>
    </xf>
    <xf numFmtId="0" fontId="4" fillId="0" borderId="5" xfId="0" applyFont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center" vertical="center" wrapText="1"/>
      <protection hidden="1"/>
    </xf>
    <xf numFmtId="2" fontId="9" fillId="0" borderId="0" xfId="0" applyNumberFormat="1" applyFont="1" applyAlignment="1" applyProtection="1">
      <alignment horizontal="center" vertical="center"/>
      <protection locked="0" hidden="1"/>
    </xf>
    <xf numFmtId="0" fontId="4" fillId="0" borderId="2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 wrapText="1"/>
      <protection locked="0" hidden="1"/>
    </xf>
    <xf numFmtId="0" fontId="0" fillId="0" borderId="0" xfId="0" applyAlignment="1" applyProtection="1">
      <alignment horizontal="left" vertical="center"/>
      <protection locked="0" hidden="1"/>
    </xf>
    <xf numFmtId="0" fontId="1" fillId="0" borderId="0" xfId="0" applyFont="1" applyBorder="1" applyAlignment="1" applyProtection="1">
      <protection hidden="1"/>
    </xf>
    <xf numFmtId="0" fontId="3" fillId="0" borderId="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protection hidden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hidden="1"/>
    </xf>
    <xf numFmtId="2" fontId="0" fillId="0" borderId="3" xfId="0" applyNumberFormat="1" applyBorder="1" applyAlignment="1" applyProtection="1">
      <alignment horizontal="center" vertical="center"/>
      <protection locked="0"/>
    </xf>
    <xf numFmtId="2" fontId="0" fillId="0" borderId="10" xfId="0" applyNumberFormat="1" applyBorder="1" applyAlignment="1" applyProtection="1">
      <alignment horizontal="center" vertical="center"/>
      <protection locked="0"/>
    </xf>
    <xf numFmtId="2" fontId="0" fillId="0" borderId="10" xfId="0" applyNumberForma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hidden="1"/>
    </xf>
    <xf numFmtId="2" fontId="0" fillId="0" borderId="3" xfId="0" applyNumberFormat="1" applyBorder="1" applyAlignment="1" applyProtection="1">
      <alignment horizontal="center" vertical="center"/>
      <protection hidden="1"/>
    </xf>
    <xf numFmtId="2" fontId="0" fillId="0" borderId="4" xfId="0" applyNumberFormat="1" applyBorder="1" applyAlignment="1" applyProtection="1">
      <alignment horizontal="center" vertical="center"/>
      <protection hidden="1"/>
    </xf>
    <xf numFmtId="0" fontId="10" fillId="0" borderId="13" xfId="0" applyFont="1" applyBorder="1" applyAlignment="1" applyProtection="1">
      <alignment horizontal="right"/>
      <protection hidden="1"/>
    </xf>
    <xf numFmtId="0" fontId="10" fillId="0" borderId="14" xfId="0" applyFont="1" applyBorder="1" applyAlignment="1" applyProtection="1">
      <alignment horizontal="right"/>
      <protection hidden="1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Border="1" applyAlignment="1" applyProtection="1">
      <alignment horizontal="center"/>
      <protection hidden="1"/>
    </xf>
    <xf numFmtId="164" fontId="1" fillId="0" borderId="14" xfId="0" applyNumberFormat="1" applyFont="1" applyBorder="1" applyAlignment="1" applyProtection="1">
      <alignment horizontal="center"/>
      <protection locked="0" hidden="1"/>
    </xf>
    <xf numFmtId="164" fontId="1" fillId="0" borderId="15" xfId="0" applyNumberFormat="1" applyFont="1" applyBorder="1" applyAlignment="1" applyProtection="1">
      <alignment horizontal="center"/>
      <protection locked="0" hidden="1"/>
    </xf>
    <xf numFmtId="0" fontId="0" fillId="0" borderId="0" xfId="0" applyAlignment="1" applyProtection="1">
      <alignment horizontal="center"/>
      <protection hidden="1"/>
    </xf>
    <xf numFmtId="0" fontId="3" fillId="0" borderId="0" xfId="0" applyFont="1" applyAlignment="1" applyProtection="1">
      <alignment horizontal="left"/>
      <protection locked="0"/>
    </xf>
    <xf numFmtId="0" fontId="2" fillId="0" borderId="16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1" fillId="0" borderId="0" xfId="0" applyFont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left" vertical="center"/>
      <protection hidden="1"/>
    </xf>
    <xf numFmtId="0" fontId="4" fillId="0" borderId="3" xfId="0" applyFont="1" applyBorder="1" applyAlignment="1" applyProtection="1">
      <alignment horizontal="left" vertical="center"/>
      <protection hidden="1"/>
    </xf>
    <xf numFmtId="0" fontId="4" fillId="0" borderId="0" xfId="0" applyNumberFormat="1" applyFont="1" applyAlignment="1" applyProtection="1">
      <alignment horizontal="center"/>
      <protection hidden="1"/>
    </xf>
    <xf numFmtId="0" fontId="1" fillId="0" borderId="0" xfId="0" applyFont="1" applyAlignment="1" applyProtection="1">
      <alignment horizontal="left" vertical="center"/>
      <protection hidden="1"/>
    </xf>
    <xf numFmtId="2" fontId="0" fillId="0" borderId="10" xfId="0" applyNumberFormat="1" applyBorder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left" vertical="center"/>
      <protection hidden="1"/>
    </xf>
    <xf numFmtId="0" fontId="4" fillId="0" borderId="1" xfId="0" applyFont="1" applyBorder="1" applyAlignment="1" applyProtection="1">
      <alignment horizontal="center" vertical="top"/>
      <protection hidden="1"/>
    </xf>
    <xf numFmtId="0" fontId="3" fillId="0" borderId="17" xfId="0" applyFont="1" applyBorder="1" applyAlignment="1" applyProtection="1">
      <alignment horizontal="left" vertical="center"/>
      <protection hidden="1"/>
    </xf>
    <xf numFmtId="0" fontId="3" fillId="0" borderId="0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/>
      <protection hidden="1"/>
    </xf>
    <xf numFmtId="164" fontId="1" fillId="0" borderId="17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wrapText="1"/>
      <protection hidden="1"/>
    </xf>
    <xf numFmtId="0" fontId="0" fillId="0" borderId="17" xfId="0" applyBorder="1" applyAlignment="1" applyProtection="1">
      <alignment horizontal="left" vertical="center"/>
      <protection hidden="1"/>
    </xf>
    <xf numFmtId="2" fontId="0" fillId="0" borderId="17" xfId="0" applyNumberFormat="1" applyBorder="1" applyAlignment="1" applyProtection="1">
      <alignment horizontal="center" vertical="center"/>
      <protection hidden="1"/>
    </xf>
    <xf numFmtId="0" fontId="0" fillId="0" borderId="17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left" vertical="center"/>
      <protection hidden="1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0" fontId="0" fillId="0" borderId="0" xfId="0" applyNumberFormat="1" applyAlignment="1" applyProtection="1">
      <alignment horizontal="center"/>
      <protection hidden="1"/>
    </xf>
    <xf numFmtId="0" fontId="2" fillId="0" borderId="0" xfId="0" applyNumberFormat="1" applyFont="1" applyAlignment="1" applyProtection="1">
      <alignment horizontal="center"/>
      <protection hidden="1"/>
    </xf>
    <xf numFmtId="0" fontId="0" fillId="0" borderId="0" xfId="0" applyNumberFormat="1" applyAlignment="1" applyProtection="1">
      <alignment horizontal="center" vertical="center" wrapText="1"/>
      <protection hidden="1"/>
    </xf>
    <xf numFmtId="14" fontId="0" fillId="0" borderId="0" xfId="0" applyNumberFormat="1" applyAlignment="1" applyProtection="1">
      <alignment horizontal="center" vertical="center" wrapText="1"/>
    </xf>
  </cellXfs>
  <cellStyles count="2">
    <cellStyle name="Normale" xfId="0" builtinId="0"/>
    <cellStyle name="Percentuale" xfId="1" builtinId="5"/>
  </cellStyles>
  <dxfs count="22">
    <dxf>
      <font>
        <color rgb="FFFFF469"/>
      </font>
      <fill>
        <patternFill>
          <bgColor rgb="FFFFF469"/>
        </patternFill>
      </fill>
    </dxf>
    <dxf>
      <fill>
        <patternFill>
          <bgColor rgb="FFFFF46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F469"/>
        </patternFill>
      </fill>
    </dxf>
    <dxf>
      <fill>
        <patternFill>
          <bgColor rgb="FFFFF469"/>
        </patternFill>
      </fill>
    </dxf>
    <dxf>
      <fill>
        <patternFill>
          <bgColor rgb="FFFF6969"/>
        </patternFill>
      </fill>
    </dxf>
    <dxf>
      <fill>
        <patternFill>
          <bgColor rgb="FFFF6969"/>
        </patternFill>
      </fill>
    </dxf>
    <dxf>
      <fill>
        <patternFill>
          <bgColor rgb="FFFFF468"/>
        </patternFill>
      </fill>
    </dxf>
    <dxf>
      <fill>
        <patternFill>
          <bgColor rgb="FFFFF468"/>
        </patternFill>
      </fill>
    </dxf>
    <dxf>
      <fill>
        <patternFill>
          <bgColor rgb="FFFF6969"/>
        </patternFill>
      </fill>
    </dxf>
    <dxf>
      <font>
        <color auto="1"/>
      </font>
      <fill>
        <patternFill>
          <bgColor rgb="FFFFF469"/>
        </patternFill>
      </fill>
    </dxf>
    <dxf>
      <font>
        <color auto="1"/>
      </font>
      <fill>
        <patternFill>
          <bgColor rgb="FFFFF46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469"/>
      <color rgb="FFFF6969"/>
      <color rgb="FFFF7C80"/>
      <color rgb="FFFFF468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calcolo!$O$22" lockText="1" noThreeD="1"/>
</file>

<file path=xl/ctrlProps/ctrlProp2.xml><?xml version="1.0" encoding="utf-8"?>
<formControlPr xmlns="http://schemas.microsoft.com/office/spreadsheetml/2009/9/main" objectType="CheckBox" fmlaLink="calcolo!$Q$23" lockText="1" noThreeD="1"/>
</file>

<file path=xl/ctrlProps/ctrlProp3.xml><?xml version="1.0" encoding="utf-8"?>
<formControlPr xmlns="http://schemas.microsoft.com/office/spreadsheetml/2009/9/main" objectType="CheckBox" fmlaLink="calcolo!$O$27" lockText="1" noThreeD="1"/>
</file>

<file path=xl/ctrlProps/ctrlProp4.xml><?xml version="1.0" encoding="utf-8"?>
<formControlPr xmlns="http://schemas.microsoft.com/office/spreadsheetml/2009/9/main" objectType="CheckBox" fmlaLink="calcolo!$Q$24" lockText="1" noThreeD="1"/>
</file>

<file path=xl/ctrlProps/ctrlProp5.xml><?xml version="1.0" encoding="utf-8"?>
<formControlPr xmlns="http://schemas.microsoft.com/office/spreadsheetml/2009/9/main" objectType="CheckBox" fmlaLink="calcolo!$Q$22" lockText="1" noThreeD="1"/>
</file>

<file path=xl/ctrlProps/ctrlProp6.xml><?xml version="1.0" encoding="utf-8"?>
<formControlPr xmlns="http://schemas.microsoft.com/office/spreadsheetml/2009/9/main" objectType="CheckBox" fmlaLink="calcolo!$O$28" lockText="1" noThreeD="1"/>
</file>

<file path=xl/ctrlProps/ctrlProp7.xml><?xml version="1.0" encoding="utf-8"?>
<formControlPr xmlns="http://schemas.microsoft.com/office/spreadsheetml/2009/9/main" objectType="CheckBox" fmlaLink="calcolo!$O$24" lockText="1" noThreeD="1"/>
</file>

<file path=xl/ctrlProps/ctrlProp8.xml><?xml version="1.0" encoding="utf-8"?>
<formControlPr xmlns="http://schemas.microsoft.com/office/spreadsheetml/2009/9/main" objectType="CheckBox" fmlaLink="calcolo!$O$23" lockText="1" noThreeD="1"/>
</file>

<file path=xl/ctrlProps/ctrlProp9.xml><?xml version="1.0" encoding="utf-8"?>
<formControlPr xmlns="http://schemas.microsoft.com/office/spreadsheetml/2009/9/main" objectType="CheckBox" fmlaLink="calcolo!$O$26" lockText="1" noThreeD="1"/>
</file>

<file path=xl/ctrlProps/ctrlProp10.xml><?xml version="1.0" encoding="utf-8"?>
<formControlPr xmlns="http://schemas.microsoft.com/office/spreadsheetml/2009/9/main" objectType="CheckBox" fmlaLink="calcolo!$O$25" lockText="1" noThreeD="1"/>
</file>

<file path=xl/ctrlProps/ctrlProp11.xml><?xml version="1.0" encoding="utf-8"?>
<formControlPr xmlns="http://schemas.microsoft.com/office/spreadsheetml/2009/9/main" objectType="CheckBox" fmlaLink="calcolo!$Q$25" lockText="1" noThreeD="1"/>
</file>

<file path=xl/ctrlProps/ctrlProp12.xml><?xml version="1.0" encoding="utf-8"?>
<formControlPr xmlns="http://schemas.microsoft.com/office/spreadsheetml/2009/9/main" objectType="CheckBox" fmlaLink="calcolo!$Q$26" lockText="1" noThreeD="1"/>
</file>

<file path=xl/ctrlProps/ctrlProp13.xml><?xml version="1.0" encoding="utf-8"?>
<formControlPr xmlns="http://schemas.microsoft.com/office/spreadsheetml/2009/9/main" objectType="CheckBox" fmlaLink="calcolo!$Q$27" lockText="1" noThreeD="1"/>
</file>

<file path=xl/ctrlProps/ctrlProp14.xml><?xml version="1.0" encoding="utf-8"?>
<formControlPr xmlns="http://schemas.microsoft.com/office/spreadsheetml/2009/9/main" objectType="CheckBox" fmlaLink="calcolo!$Q$28" lockText="1" noThreeD="1"/>
</file>

<file path=xl/ctrlProps/ctrlProp15.xml><?xml version="1.0" encoding="utf-8"?>
<formControlPr xmlns="http://schemas.microsoft.com/office/spreadsheetml/2009/9/main" objectType="CheckBox" fmlaLink="calcolo!$G$25" lockText="1" noThreeD="1"/>
</file>

<file path=xl/ctrlProps/ctrlProp16.xml><?xml version="1.0" encoding="utf-8"?>
<formControlPr xmlns="http://schemas.microsoft.com/office/spreadsheetml/2009/9/main" objectType="CheckBox" fmlaLink="calcolo!$G$24" lockText="1" noThreeD="1"/>
</file>

<file path=xl/ctrlProps/ctrlProp17.xml><?xml version="1.0" encoding="utf-8"?>
<formControlPr xmlns="http://schemas.microsoft.com/office/spreadsheetml/2009/9/main" objectType="CheckBox" fmlaLink="calcolo!$G$23" lockText="1" noThreeD="1"/>
</file>

<file path=xl/ctrlProps/ctrlProp18.xml><?xml version="1.0" encoding="utf-8"?>
<formControlPr xmlns="http://schemas.microsoft.com/office/spreadsheetml/2009/9/main" objectType="CheckBox" fmlaLink="calcolo!$G$22" lockText="1" noThreeD="1"/>
</file>

<file path=xl/ctrlProps/ctrlProp19.xml><?xml version="1.0" encoding="utf-8"?>
<formControlPr xmlns="http://schemas.microsoft.com/office/spreadsheetml/2009/9/main" objectType="CheckBox" fmlaLink="calcolo!$G$26" lockText="1" noThreeD="1"/>
</file>

<file path=xl/ctrlProps/ctrlProp20.xml><?xml version="1.0" encoding="utf-8"?>
<formControlPr xmlns="http://schemas.microsoft.com/office/spreadsheetml/2009/9/main" objectType="CheckBox" fmlaLink="calcolo!$H$22" lockText="1" noThreeD="1"/>
</file>

<file path=xl/ctrlProps/ctrlProp21.xml><?xml version="1.0" encoding="utf-8"?>
<formControlPr xmlns="http://schemas.microsoft.com/office/spreadsheetml/2009/9/main" objectType="CheckBox" fmlaLink="calcolo!$H$23" lockText="1" noThreeD="1"/>
</file>

<file path=xl/ctrlProps/ctrlProp22.xml><?xml version="1.0" encoding="utf-8"?>
<formControlPr xmlns="http://schemas.microsoft.com/office/spreadsheetml/2009/9/main" objectType="CheckBox" fmlaLink="calcolo!$H$24" lockText="1" noThreeD="1"/>
</file>

<file path=xl/ctrlProps/ctrlProp23.xml><?xml version="1.0" encoding="utf-8"?>
<formControlPr xmlns="http://schemas.microsoft.com/office/spreadsheetml/2009/9/main" objectType="CheckBox" fmlaLink="calcolo!$H$25" lockText="1" noThreeD="1"/>
</file>

<file path=xl/ctrlProps/ctrlProp24.xml><?xml version="1.0" encoding="utf-8"?>
<formControlPr xmlns="http://schemas.microsoft.com/office/spreadsheetml/2009/9/main" objectType="CheckBox" fmlaLink="calcolo!$H$2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66675</xdr:rowOff>
        </xdr:from>
        <xdr:to>
          <xdr:col>11</xdr:col>
          <xdr:colOff>38100</xdr:colOff>
          <xdr:row>17</xdr:row>
          <xdr:rowOff>133350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18</xdr:row>
          <xdr:rowOff>76200</xdr:rowOff>
        </xdr:from>
        <xdr:to>
          <xdr:col>21</xdr:col>
          <xdr:colOff>200025</xdr:colOff>
          <xdr:row>19</xdr:row>
          <xdr:rowOff>123825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24</xdr:row>
          <xdr:rowOff>171450</xdr:rowOff>
        </xdr:from>
        <xdr:to>
          <xdr:col>11</xdr:col>
          <xdr:colOff>0</xdr:colOff>
          <xdr:row>26</xdr:row>
          <xdr:rowOff>19050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19</xdr:row>
          <xdr:rowOff>180975</xdr:rowOff>
        </xdr:from>
        <xdr:to>
          <xdr:col>21</xdr:col>
          <xdr:colOff>200025</xdr:colOff>
          <xdr:row>21</xdr:row>
          <xdr:rowOff>9525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16</xdr:row>
          <xdr:rowOff>66675</xdr:rowOff>
        </xdr:from>
        <xdr:to>
          <xdr:col>21</xdr:col>
          <xdr:colOff>200025</xdr:colOff>
          <xdr:row>17</xdr:row>
          <xdr:rowOff>133350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152400</xdr:rowOff>
        </xdr:from>
        <xdr:to>
          <xdr:col>11</xdr:col>
          <xdr:colOff>38100</xdr:colOff>
          <xdr:row>27</xdr:row>
          <xdr:rowOff>38100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20</xdr:row>
          <xdr:rowOff>152400</xdr:rowOff>
        </xdr:from>
        <xdr:to>
          <xdr:col>11</xdr:col>
          <xdr:colOff>38100</xdr:colOff>
          <xdr:row>22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66675</xdr:rowOff>
        </xdr:from>
        <xdr:to>
          <xdr:col>11</xdr:col>
          <xdr:colOff>38100</xdr:colOff>
          <xdr:row>19</xdr:row>
          <xdr:rowOff>133350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23</xdr:row>
          <xdr:rowOff>152400</xdr:rowOff>
        </xdr:from>
        <xdr:to>
          <xdr:col>11</xdr:col>
          <xdr:colOff>38100</xdr:colOff>
          <xdr:row>25</xdr:row>
          <xdr:rowOff>47625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22</xdr:row>
          <xdr:rowOff>152400</xdr:rowOff>
        </xdr:from>
        <xdr:to>
          <xdr:col>11</xdr:col>
          <xdr:colOff>38100</xdr:colOff>
          <xdr:row>24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21</xdr:row>
          <xdr:rowOff>66675</xdr:rowOff>
        </xdr:from>
        <xdr:to>
          <xdr:col>21</xdr:col>
          <xdr:colOff>190500</xdr:colOff>
          <xdr:row>22</xdr:row>
          <xdr:rowOff>133350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22</xdr:row>
          <xdr:rowOff>152400</xdr:rowOff>
        </xdr:from>
        <xdr:to>
          <xdr:col>21</xdr:col>
          <xdr:colOff>209550</xdr:colOff>
          <xdr:row>24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24</xdr:row>
          <xdr:rowOff>66675</xdr:rowOff>
        </xdr:from>
        <xdr:to>
          <xdr:col>21</xdr:col>
          <xdr:colOff>209550</xdr:colOff>
          <xdr:row>25</xdr:row>
          <xdr:rowOff>142875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25</xdr:row>
          <xdr:rowOff>152400</xdr:rowOff>
        </xdr:from>
        <xdr:to>
          <xdr:col>21</xdr:col>
          <xdr:colOff>200025</xdr:colOff>
          <xdr:row>27</xdr:row>
          <xdr:rowOff>38100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33</xdr:row>
          <xdr:rowOff>161925</xdr:rowOff>
        </xdr:from>
        <xdr:to>
          <xdr:col>19</xdr:col>
          <xdr:colOff>200025</xdr:colOff>
          <xdr:row>35</xdr:row>
          <xdr:rowOff>28575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32</xdr:row>
          <xdr:rowOff>161925</xdr:rowOff>
        </xdr:from>
        <xdr:to>
          <xdr:col>19</xdr:col>
          <xdr:colOff>209550</xdr:colOff>
          <xdr:row>34</xdr:row>
          <xdr:rowOff>28575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31</xdr:row>
          <xdr:rowOff>161925</xdr:rowOff>
        </xdr:from>
        <xdr:to>
          <xdr:col>19</xdr:col>
          <xdr:colOff>209550</xdr:colOff>
          <xdr:row>33</xdr:row>
          <xdr:rowOff>28575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30</xdr:row>
          <xdr:rowOff>180975</xdr:rowOff>
        </xdr:from>
        <xdr:to>
          <xdr:col>19</xdr:col>
          <xdr:colOff>209550</xdr:colOff>
          <xdr:row>32</xdr:row>
          <xdr:rowOff>28575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34</xdr:row>
          <xdr:rowOff>161925</xdr:rowOff>
        </xdr:from>
        <xdr:to>
          <xdr:col>19</xdr:col>
          <xdr:colOff>209550</xdr:colOff>
          <xdr:row>36</xdr:row>
          <xdr:rowOff>28575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30</xdr:row>
          <xdr:rowOff>180975</xdr:rowOff>
        </xdr:from>
        <xdr:to>
          <xdr:col>21</xdr:col>
          <xdr:colOff>19050</xdr:colOff>
          <xdr:row>32</xdr:row>
          <xdr:rowOff>19050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31</xdr:row>
          <xdr:rowOff>161925</xdr:rowOff>
        </xdr:from>
        <xdr:to>
          <xdr:col>21</xdr:col>
          <xdr:colOff>19050</xdr:colOff>
          <xdr:row>33</xdr:row>
          <xdr:rowOff>19050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32</xdr:row>
          <xdr:rowOff>161925</xdr:rowOff>
        </xdr:from>
        <xdr:to>
          <xdr:col>21</xdr:col>
          <xdr:colOff>19050</xdr:colOff>
          <xdr:row>34</xdr:row>
          <xdr:rowOff>19050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33</xdr:row>
          <xdr:rowOff>161925</xdr:rowOff>
        </xdr:from>
        <xdr:to>
          <xdr:col>21</xdr:col>
          <xdr:colOff>19050</xdr:colOff>
          <xdr:row>35</xdr:row>
          <xdr:rowOff>19050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171450</xdr:rowOff>
        </xdr:from>
        <xdr:to>
          <xdr:col>21</xdr:col>
          <xdr:colOff>19050</xdr:colOff>
          <xdr:row>36</xdr:row>
          <xdr:rowOff>28575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0</xdr:col>
      <xdr:colOff>621846</xdr:colOff>
      <xdr:row>0</xdr:row>
      <xdr:rowOff>195157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612321" cy="1951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G42"/>
  <sheetViews>
    <sheetView tabSelected="1" zoomScale="115" zoomScaleNormal="115" workbookViewId="0">
      <selection sqref="A1:V1"/>
    </sheetView>
  </sheetViews>
  <sheetFormatPr defaultColWidth="8.85546875" defaultRowHeight="15" x14ac:dyDescent="0.25"/>
  <cols>
    <col min="1" max="1" width="3.85546875" style="31" customWidth="1"/>
    <col min="2" max="2" width="4.42578125" style="31" customWidth="1"/>
    <col min="3" max="3" width="2.42578125" style="31" customWidth="1"/>
    <col min="4" max="4" width="1.42578125" style="31" customWidth="1"/>
    <col min="5" max="5" width="5.140625" style="31" customWidth="1"/>
    <col min="6" max="6" width="4.28515625" style="31" customWidth="1"/>
    <col min="7" max="7" width="7.7109375" style="31" bestFit="1" customWidth="1"/>
    <col min="8" max="8" width="4.28515625" style="31" customWidth="1"/>
    <col min="9" max="9" width="3.42578125" style="31" customWidth="1"/>
    <col min="10" max="10" width="6" style="31" customWidth="1"/>
    <col min="11" max="11" width="4" style="31" customWidth="1"/>
    <col min="12" max="12" width="3.85546875" style="31" customWidth="1"/>
    <col min="13" max="13" width="6.28515625" style="31" customWidth="1"/>
    <col min="14" max="14" width="4.28515625" style="31" customWidth="1"/>
    <col min="15" max="15" width="2.140625" style="31" customWidth="1"/>
    <col min="16" max="16" width="5.7109375" style="31" customWidth="1"/>
    <col min="17" max="17" width="1.7109375" style="31" customWidth="1"/>
    <col min="18" max="18" width="3.140625" style="31" customWidth="1"/>
    <col min="19" max="19" width="3" style="31" customWidth="1"/>
    <col min="20" max="20" width="4.7109375" style="31" customWidth="1"/>
    <col min="21" max="21" width="6.5703125" style="31" customWidth="1"/>
    <col min="22" max="22" width="3.85546875" style="31" customWidth="1"/>
    <col min="23" max="23" width="6.28515625" style="31" customWidth="1"/>
    <col min="24" max="24" width="8.28515625" style="31" bestFit="1" customWidth="1"/>
    <col min="25" max="26" width="6.140625" style="31" bestFit="1" customWidth="1"/>
    <col min="27" max="27" width="8.5703125" style="31" bestFit="1" customWidth="1"/>
    <col min="28" max="28" width="12.28515625" style="31" bestFit="1" customWidth="1"/>
    <col min="29" max="16384" width="8.85546875" style="31"/>
  </cols>
  <sheetData>
    <row r="1" spans="1:33" ht="34.5" customHeight="1" thickBot="1" x14ac:dyDescent="0.3">
      <c r="A1" s="78" t="s">
        <v>58</v>
      </c>
      <c r="B1" s="79"/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80"/>
    </row>
    <row r="2" spans="1:33" ht="20.25" customHeight="1" x14ac:dyDescent="0.25">
      <c r="A2" s="109" t="s">
        <v>50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5" customHeight="1" x14ac:dyDescent="0.25">
      <c r="A3" s="129" t="s">
        <v>61</v>
      </c>
      <c r="B3" s="129"/>
      <c r="C3" s="129"/>
      <c r="D3" s="129"/>
      <c r="E3" s="129"/>
      <c r="F3" s="5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3"/>
      <c r="X3" s="3"/>
      <c r="Y3" s="3"/>
      <c r="Z3" s="3"/>
      <c r="AA3" s="3"/>
      <c r="AB3" s="3"/>
      <c r="AC3" s="3"/>
      <c r="AD3" s="3"/>
      <c r="AE3" s="3"/>
      <c r="AF3" s="3"/>
      <c r="AG3" s="3"/>
    </row>
    <row r="4" spans="1:33" s="28" customFormat="1" ht="9.9499999999999993" customHeight="1" x14ac:dyDescent="0.25">
      <c r="A4" s="116"/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7"/>
      <c r="X4" s="7"/>
      <c r="Y4" s="7"/>
      <c r="Z4" s="7"/>
      <c r="AA4" s="7"/>
      <c r="AB4" s="7"/>
      <c r="AC4" s="7"/>
      <c r="AD4" s="7"/>
      <c r="AE4" s="7"/>
      <c r="AF4" s="7"/>
      <c r="AG4" s="7"/>
    </row>
    <row r="5" spans="1:33" s="28" customFormat="1" ht="15" customHeight="1" x14ac:dyDescent="0.25">
      <c r="A5" s="129" t="s">
        <v>60</v>
      </c>
      <c r="B5" s="129"/>
      <c r="C5" s="129"/>
      <c r="D5" s="130"/>
      <c r="E5" s="130"/>
      <c r="F5" s="131"/>
      <c r="G5" s="131"/>
      <c r="H5" s="131"/>
      <c r="I5" s="131"/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7"/>
      <c r="X5" s="7"/>
      <c r="Y5" s="7"/>
      <c r="Z5" s="7"/>
      <c r="AA5" s="7"/>
      <c r="AB5" s="7"/>
      <c r="AC5" s="7"/>
      <c r="AD5" s="7"/>
      <c r="AE5" s="7"/>
      <c r="AF5" s="7"/>
      <c r="AG5" s="7"/>
    </row>
    <row r="6" spans="1:33" s="28" customFormat="1" ht="9.9499999999999993" customHeight="1" x14ac:dyDescent="0.25">
      <c r="A6" s="116"/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7"/>
      <c r="X6" s="7"/>
      <c r="Y6" s="7"/>
      <c r="Z6" s="7"/>
      <c r="AA6" s="7"/>
      <c r="AB6" s="7"/>
      <c r="AC6" s="7"/>
      <c r="AD6" s="7"/>
      <c r="AE6" s="7"/>
      <c r="AF6" s="7"/>
      <c r="AG6" s="7"/>
    </row>
    <row r="7" spans="1:33" ht="15" customHeight="1" x14ac:dyDescent="0.25">
      <c r="A7" s="110" t="s">
        <v>62</v>
      </c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07"/>
      <c r="R7" s="107"/>
      <c r="S7" s="107"/>
      <c r="T7" s="110"/>
      <c r="U7" s="110"/>
      <c r="V7" s="110"/>
      <c r="W7" s="3"/>
      <c r="X7" s="3"/>
      <c r="Y7" s="3"/>
      <c r="Z7" s="3"/>
      <c r="AA7" s="3"/>
      <c r="AB7" s="3"/>
      <c r="AC7" s="3"/>
      <c r="AD7" s="3"/>
      <c r="AE7" s="3"/>
      <c r="AF7" s="3"/>
      <c r="AG7" s="3"/>
    </row>
    <row r="8" spans="1:33" ht="15" customHeight="1" x14ac:dyDescent="0.25">
      <c r="A8" s="132" t="s">
        <v>22</v>
      </c>
      <c r="B8" s="133"/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4" t="s">
        <v>1</v>
      </c>
      <c r="O8" s="113"/>
      <c r="P8" s="113"/>
      <c r="Q8" s="96"/>
      <c r="R8" s="96"/>
      <c r="S8" s="82"/>
      <c r="T8" s="44" t="s">
        <v>0</v>
      </c>
      <c r="U8" s="117">
        <f>O8</f>
        <v>0</v>
      </c>
      <c r="V8" s="118"/>
      <c r="W8" s="3"/>
      <c r="X8" s="3"/>
      <c r="Y8" s="3"/>
      <c r="Z8" s="3"/>
      <c r="AA8" s="3"/>
      <c r="AB8" s="3"/>
      <c r="AC8" s="3"/>
      <c r="AD8" s="3"/>
      <c r="AE8" s="3"/>
      <c r="AF8" s="3"/>
      <c r="AG8" s="3"/>
    </row>
    <row r="9" spans="1:33" ht="15" customHeight="1" x14ac:dyDescent="0.25">
      <c r="A9" s="91" t="s">
        <v>23</v>
      </c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139"/>
      <c r="O9" s="139"/>
      <c r="P9" s="139"/>
      <c r="Q9" s="54" t="s">
        <v>28</v>
      </c>
      <c r="R9" s="50" t="s">
        <v>66</v>
      </c>
      <c r="S9" s="45" t="s">
        <v>57</v>
      </c>
      <c r="T9" s="16" t="s">
        <v>0</v>
      </c>
      <c r="U9" s="72" t="e">
        <f>IF(AND(R9&lt;&gt;0,O8&lt;=60),IF((O8+R9/100*O8)&gt;=62,62-O8,(R9/100*O8)),0)</f>
        <v>#VALUE!</v>
      </c>
      <c r="V9" s="7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3" ht="15" customHeight="1" x14ac:dyDescent="0.25">
      <c r="A10" s="90" t="s">
        <v>24</v>
      </c>
      <c r="B10" s="71"/>
      <c r="C10" s="71"/>
      <c r="D10" s="71"/>
      <c r="E10" s="71"/>
      <c r="F10" s="71"/>
      <c r="G10" s="71"/>
      <c r="H10" s="71"/>
      <c r="I10" s="71"/>
      <c r="J10" s="71"/>
      <c r="K10" s="71"/>
      <c r="L10" s="71"/>
      <c r="M10" s="71"/>
      <c r="N10" s="14" t="s">
        <v>1</v>
      </c>
      <c r="O10" s="114"/>
      <c r="P10" s="114"/>
      <c r="Q10" s="17" t="s">
        <v>28</v>
      </c>
      <c r="R10" s="15">
        <v>70</v>
      </c>
      <c r="S10" s="18" t="s">
        <v>57</v>
      </c>
      <c r="T10" s="19" t="s">
        <v>0</v>
      </c>
      <c r="U10" s="136">
        <f>O10*R10/100</f>
        <v>0</v>
      </c>
      <c r="V10" s="137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" customHeight="1" x14ac:dyDescent="0.25">
      <c r="A11" s="90" t="s">
        <v>25</v>
      </c>
      <c r="B11" s="71"/>
      <c r="C11" s="71"/>
      <c r="D11" s="71"/>
      <c r="E11" s="71"/>
      <c r="F11" s="71"/>
      <c r="G11" s="71"/>
      <c r="H11" s="71"/>
      <c r="I11" s="71"/>
      <c r="J11" s="71"/>
      <c r="K11" s="71"/>
      <c r="L11" s="71"/>
      <c r="M11" s="71"/>
      <c r="N11" s="14" t="s">
        <v>1</v>
      </c>
      <c r="O11" s="115"/>
      <c r="P11" s="115"/>
      <c r="Q11" s="20" t="s">
        <v>28</v>
      </c>
      <c r="R11" s="15">
        <v>50</v>
      </c>
      <c r="S11" s="18" t="s">
        <v>57</v>
      </c>
      <c r="T11" s="19" t="s">
        <v>0</v>
      </c>
      <c r="U11" s="72">
        <f t="shared" ref="U11:U13" si="0">O11*R11/100</f>
        <v>0</v>
      </c>
      <c r="V11" s="7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</row>
    <row r="12" spans="1:33" ht="15" customHeight="1" x14ac:dyDescent="0.25">
      <c r="A12" s="90" t="s">
        <v>26</v>
      </c>
      <c r="B12" s="71"/>
      <c r="C12" s="71"/>
      <c r="D12" s="71"/>
      <c r="E12" s="71"/>
      <c r="F12" s="71"/>
      <c r="G12" s="71"/>
      <c r="H12" s="71"/>
      <c r="I12" s="71"/>
      <c r="J12" s="71"/>
      <c r="K12" s="71"/>
      <c r="L12" s="71"/>
      <c r="M12" s="71"/>
      <c r="N12" s="14" t="s">
        <v>1</v>
      </c>
      <c r="O12" s="114"/>
      <c r="P12" s="114"/>
      <c r="Q12" s="20" t="s">
        <v>28</v>
      </c>
      <c r="R12" s="15">
        <v>25</v>
      </c>
      <c r="S12" s="18" t="s">
        <v>57</v>
      </c>
      <c r="T12" s="16" t="s">
        <v>0</v>
      </c>
      <c r="U12" s="72">
        <f t="shared" si="0"/>
        <v>0</v>
      </c>
      <c r="V12" s="7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</row>
    <row r="13" spans="1:33" s="28" customFormat="1" ht="15" customHeight="1" x14ac:dyDescent="0.2">
      <c r="A13" s="90" t="s">
        <v>27</v>
      </c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20" t="s">
        <v>1</v>
      </c>
      <c r="O13" s="114"/>
      <c r="P13" s="114"/>
      <c r="Q13" s="20" t="s">
        <v>28</v>
      </c>
      <c r="R13" s="15">
        <v>10</v>
      </c>
      <c r="S13" s="18" t="s">
        <v>57</v>
      </c>
      <c r="T13" s="16" t="s">
        <v>0</v>
      </c>
      <c r="U13" s="72">
        <f t="shared" si="0"/>
        <v>0</v>
      </c>
      <c r="V13" s="73"/>
      <c r="W13" s="7"/>
      <c r="X13" s="32"/>
      <c r="Y13" s="7"/>
      <c r="Z13" s="7"/>
      <c r="AA13" s="7"/>
      <c r="AB13" s="7"/>
      <c r="AC13" s="7"/>
      <c r="AD13" s="7"/>
      <c r="AE13" s="7"/>
      <c r="AF13" s="7"/>
      <c r="AG13" s="7"/>
    </row>
    <row r="14" spans="1:33" ht="15" customHeight="1" x14ac:dyDescent="0.25">
      <c r="A14" s="93" t="s">
        <v>51</v>
      </c>
      <c r="B14" s="93"/>
      <c r="C14" s="93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30" t="s">
        <v>1</v>
      </c>
      <c r="U14" s="103" t="s">
        <v>66</v>
      </c>
      <c r="V14" s="103"/>
      <c r="W14" s="3"/>
      <c r="X14" s="47" t="s">
        <v>67</v>
      </c>
      <c r="Y14" s="3"/>
      <c r="Z14" s="3"/>
      <c r="AA14" s="3"/>
      <c r="AB14" s="3"/>
      <c r="AC14" s="3"/>
      <c r="AD14" s="3"/>
      <c r="AE14" s="3"/>
      <c r="AF14" s="3"/>
      <c r="AG14" s="3"/>
    </row>
    <row r="15" spans="1:33" ht="9.9499999999999993" customHeight="1" x14ac:dyDescent="0.25">
      <c r="A15" s="81"/>
      <c r="B15" s="81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</row>
    <row r="16" spans="1:33" ht="15" customHeight="1" x14ac:dyDescent="0.25">
      <c r="A16" s="88" t="s">
        <v>52</v>
      </c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</row>
    <row r="17" spans="1:33" ht="15" customHeight="1" x14ac:dyDescent="0.25">
      <c r="A17" s="76">
        <v>1</v>
      </c>
      <c r="B17" s="89" t="s">
        <v>16</v>
      </c>
      <c r="C17" s="89"/>
      <c r="D17" s="89"/>
      <c r="E17" s="89"/>
      <c r="F17" s="89"/>
      <c r="G17" s="89"/>
      <c r="H17" s="89"/>
      <c r="I17" s="89"/>
      <c r="J17" s="89"/>
      <c r="K17" s="74"/>
      <c r="L17" s="101">
        <v>8</v>
      </c>
      <c r="M17" s="89" t="s">
        <v>3</v>
      </c>
      <c r="N17" s="89"/>
      <c r="O17" s="89"/>
      <c r="P17" s="89"/>
      <c r="Q17" s="89"/>
      <c r="R17" s="89"/>
      <c r="S17" s="89"/>
      <c r="T17" s="89"/>
      <c r="U17" s="89"/>
      <c r="V17" s="87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</row>
    <row r="18" spans="1:33" ht="15" customHeight="1" x14ac:dyDescent="0.25">
      <c r="A18" s="77"/>
      <c r="B18" s="70"/>
      <c r="C18" s="70"/>
      <c r="D18" s="70"/>
      <c r="E18" s="70"/>
      <c r="F18" s="70"/>
      <c r="G18" s="70"/>
      <c r="H18" s="70"/>
      <c r="I18" s="70"/>
      <c r="J18" s="70"/>
      <c r="K18" s="75"/>
      <c r="L18" s="102"/>
      <c r="M18" s="70"/>
      <c r="N18" s="70"/>
      <c r="O18" s="70"/>
      <c r="P18" s="70"/>
      <c r="Q18" s="70"/>
      <c r="R18" s="70"/>
      <c r="S18" s="70"/>
      <c r="T18" s="70"/>
      <c r="U18" s="70"/>
      <c r="V18" s="75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</row>
    <row r="19" spans="1:33" ht="15" customHeight="1" x14ac:dyDescent="0.25">
      <c r="A19" s="76">
        <v>2</v>
      </c>
      <c r="B19" s="69" t="s">
        <v>17</v>
      </c>
      <c r="C19" s="69"/>
      <c r="D19" s="69"/>
      <c r="E19" s="69"/>
      <c r="F19" s="69"/>
      <c r="G19" s="69"/>
      <c r="H19" s="69"/>
      <c r="I19" s="69"/>
      <c r="J19" s="69"/>
      <c r="K19" s="87"/>
      <c r="L19" s="104">
        <v>9</v>
      </c>
      <c r="M19" s="69" t="s">
        <v>8</v>
      </c>
      <c r="N19" s="69"/>
      <c r="O19" s="69"/>
      <c r="P19" s="69"/>
      <c r="Q19" s="69"/>
      <c r="R19" s="69"/>
      <c r="S19" s="69"/>
      <c r="T19" s="69"/>
      <c r="U19" s="69"/>
      <c r="V19" s="82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</row>
    <row r="20" spans="1:33" s="1" customFormat="1" ht="15" customHeight="1" x14ac:dyDescent="0.25">
      <c r="A20" s="77"/>
      <c r="B20" s="70"/>
      <c r="C20" s="70"/>
      <c r="D20" s="70"/>
      <c r="E20" s="70"/>
      <c r="F20" s="70"/>
      <c r="G20" s="70"/>
      <c r="H20" s="70"/>
      <c r="I20" s="70"/>
      <c r="J20" s="70"/>
      <c r="K20" s="75"/>
      <c r="L20" s="102"/>
      <c r="M20" s="70"/>
      <c r="N20" s="70"/>
      <c r="O20" s="70"/>
      <c r="P20" s="70"/>
      <c r="Q20" s="70"/>
      <c r="R20" s="70"/>
      <c r="S20" s="70"/>
      <c r="T20" s="70"/>
      <c r="U20" s="70"/>
      <c r="V20" s="83"/>
      <c r="W20" s="4"/>
      <c r="X20" s="3"/>
      <c r="Y20" s="4"/>
      <c r="Z20" s="3"/>
      <c r="AA20" s="4"/>
      <c r="AB20" s="4"/>
      <c r="AC20" s="4"/>
      <c r="AD20" s="4"/>
      <c r="AE20" s="4"/>
      <c r="AF20" s="4"/>
      <c r="AG20" s="4"/>
    </row>
    <row r="21" spans="1:33" ht="15" customHeight="1" x14ac:dyDescent="0.25">
      <c r="A21" s="76">
        <v>3</v>
      </c>
      <c r="B21" s="69" t="s">
        <v>2</v>
      </c>
      <c r="C21" s="69"/>
      <c r="D21" s="69"/>
      <c r="E21" s="69"/>
      <c r="F21" s="69"/>
      <c r="G21" s="69"/>
      <c r="H21" s="69"/>
      <c r="I21" s="69"/>
      <c r="J21" s="69"/>
      <c r="K21" s="84"/>
      <c r="L21" s="33">
        <v>10</v>
      </c>
      <c r="M21" s="71" t="s">
        <v>10</v>
      </c>
      <c r="N21" s="71"/>
      <c r="O21" s="71"/>
      <c r="P21" s="71"/>
      <c r="Q21" s="71"/>
      <c r="R21" s="71"/>
      <c r="S21" s="71"/>
      <c r="T21" s="71"/>
      <c r="U21" s="71"/>
      <c r="V21" s="41"/>
      <c r="W21" s="4"/>
      <c r="X21" s="3"/>
      <c r="Y21" s="3"/>
      <c r="Z21" s="3"/>
      <c r="AA21" s="3"/>
      <c r="AB21" s="5"/>
      <c r="AC21" s="3"/>
      <c r="AD21" s="3"/>
      <c r="AE21" s="3"/>
      <c r="AF21" s="3"/>
      <c r="AG21" s="3"/>
    </row>
    <row r="22" spans="1:33" ht="15" customHeight="1" x14ac:dyDescent="0.25">
      <c r="A22" s="100"/>
      <c r="B22" s="89"/>
      <c r="C22" s="89"/>
      <c r="D22" s="89"/>
      <c r="E22" s="89"/>
      <c r="F22" s="89"/>
      <c r="G22" s="89"/>
      <c r="H22" s="89"/>
      <c r="I22" s="89"/>
      <c r="J22" s="89"/>
      <c r="K22" s="85"/>
      <c r="L22" s="76">
        <v>11</v>
      </c>
      <c r="M22" s="69" t="s">
        <v>9</v>
      </c>
      <c r="N22" s="69"/>
      <c r="O22" s="69"/>
      <c r="P22" s="69"/>
      <c r="Q22" s="69"/>
      <c r="R22" s="69"/>
      <c r="S22" s="69"/>
      <c r="T22" s="69"/>
      <c r="U22" s="69"/>
      <c r="V22" s="82"/>
      <c r="W22" s="4"/>
      <c r="X22" s="3"/>
      <c r="Y22" s="3"/>
      <c r="Z22" s="3"/>
      <c r="AA22" s="3"/>
      <c r="AB22" s="3"/>
      <c r="AC22" s="3"/>
      <c r="AD22" s="3"/>
      <c r="AE22" s="3"/>
      <c r="AF22" s="3"/>
      <c r="AG22" s="3"/>
    </row>
    <row r="23" spans="1:33" ht="15" customHeight="1" x14ac:dyDescent="0.25">
      <c r="A23" s="77"/>
      <c r="B23" s="70"/>
      <c r="C23" s="70"/>
      <c r="D23" s="70"/>
      <c r="E23" s="70"/>
      <c r="F23" s="70"/>
      <c r="G23" s="70"/>
      <c r="H23" s="70"/>
      <c r="I23" s="70"/>
      <c r="J23" s="70"/>
      <c r="K23" s="86"/>
      <c r="L23" s="77"/>
      <c r="M23" s="70"/>
      <c r="N23" s="70"/>
      <c r="O23" s="70"/>
      <c r="P23" s="70"/>
      <c r="Q23" s="70"/>
      <c r="R23" s="70"/>
      <c r="S23" s="70"/>
      <c r="T23" s="70"/>
      <c r="U23" s="70"/>
      <c r="V23" s="83"/>
      <c r="W23" s="3"/>
      <c r="X23" s="6"/>
      <c r="Y23" s="3"/>
      <c r="Z23" s="3"/>
      <c r="AA23" s="3"/>
      <c r="AB23" s="3"/>
      <c r="AC23" s="3"/>
      <c r="AD23" s="3"/>
      <c r="AE23" s="3"/>
      <c r="AF23" s="3"/>
      <c r="AG23" s="3"/>
    </row>
    <row r="24" spans="1:33" ht="15" customHeight="1" x14ac:dyDescent="0.25">
      <c r="A24" s="35">
        <v>4</v>
      </c>
      <c r="B24" s="71" t="s">
        <v>5</v>
      </c>
      <c r="C24" s="71"/>
      <c r="D24" s="71"/>
      <c r="E24" s="71"/>
      <c r="F24" s="71"/>
      <c r="G24" s="71"/>
      <c r="H24" s="71"/>
      <c r="I24" s="71"/>
      <c r="J24" s="71"/>
      <c r="K24" s="34"/>
      <c r="L24" s="35">
        <v>12</v>
      </c>
      <c r="M24" s="71" t="s">
        <v>11</v>
      </c>
      <c r="N24" s="71"/>
      <c r="O24" s="71"/>
      <c r="P24" s="71"/>
      <c r="Q24" s="71"/>
      <c r="R24" s="71"/>
      <c r="S24" s="71"/>
      <c r="T24" s="71"/>
      <c r="U24" s="71"/>
      <c r="V24" s="42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</row>
    <row r="25" spans="1:33" ht="15" customHeight="1" x14ac:dyDescent="0.25">
      <c r="A25" s="33">
        <v>5</v>
      </c>
      <c r="B25" s="71" t="s">
        <v>4</v>
      </c>
      <c r="C25" s="71"/>
      <c r="D25" s="71"/>
      <c r="E25" s="71"/>
      <c r="F25" s="71"/>
      <c r="G25" s="71"/>
      <c r="H25" s="71"/>
      <c r="I25" s="71"/>
      <c r="J25" s="71"/>
      <c r="K25" s="36"/>
      <c r="L25" s="76">
        <v>13</v>
      </c>
      <c r="M25" s="69" t="s">
        <v>12</v>
      </c>
      <c r="N25" s="69"/>
      <c r="O25" s="69"/>
      <c r="P25" s="69"/>
      <c r="Q25" s="69"/>
      <c r="R25" s="69"/>
      <c r="S25" s="69"/>
      <c r="T25" s="69"/>
      <c r="U25" s="69"/>
      <c r="V25" s="82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</row>
    <row r="26" spans="1:33" ht="15" customHeight="1" x14ac:dyDescent="0.25">
      <c r="A26" s="33">
        <v>6</v>
      </c>
      <c r="B26" s="71" t="s">
        <v>6</v>
      </c>
      <c r="C26" s="71"/>
      <c r="D26" s="71"/>
      <c r="E26" s="71"/>
      <c r="F26" s="71"/>
      <c r="G26" s="71"/>
      <c r="H26" s="71"/>
      <c r="I26" s="71"/>
      <c r="J26" s="71"/>
      <c r="K26" s="37"/>
      <c r="L26" s="77"/>
      <c r="M26" s="70"/>
      <c r="N26" s="70"/>
      <c r="O26" s="70"/>
      <c r="P26" s="70"/>
      <c r="Q26" s="70"/>
      <c r="R26" s="70"/>
      <c r="S26" s="70"/>
      <c r="T26" s="70"/>
      <c r="U26" s="70"/>
      <c r="V26" s="8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</row>
    <row r="27" spans="1:33" ht="15" customHeight="1" x14ac:dyDescent="0.25">
      <c r="A27" s="40">
        <v>7</v>
      </c>
      <c r="B27" s="92" t="s">
        <v>7</v>
      </c>
      <c r="C27" s="92"/>
      <c r="D27" s="92"/>
      <c r="E27" s="92"/>
      <c r="F27" s="92"/>
      <c r="G27" s="92"/>
      <c r="H27" s="92"/>
      <c r="I27" s="92"/>
      <c r="J27" s="92"/>
      <c r="K27" s="38"/>
      <c r="L27" s="39" t="s">
        <v>49</v>
      </c>
      <c r="M27" s="92" t="s">
        <v>29</v>
      </c>
      <c r="N27" s="92"/>
      <c r="O27" s="92"/>
      <c r="P27" s="92"/>
      <c r="Q27" s="92"/>
      <c r="R27" s="92"/>
      <c r="S27" s="92"/>
      <c r="T27" s="92"/>
      <c r="U27" s="92"/>
      <c r="V27" s="4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</row>
    <row r="28" spans="1:33" ht="15" customHeight="1" x14ac:dyDescent="0.25">
      <c r="A28" s="108" t="s">
        <v>54</v>
      </c>
      <c r="B28" s="108"/>
      <c r="C28" s="108"/>
      <c r="D28" s="112">
        <f>calcolo!O22+calcolo!O23+calcolo!O24+calcolo!O25+calcolo!O26+calcolo!O27+calcolo!O28</f>
        <v>0</v>
      </c>
      <c r="E28" s="112"/>
      <c r="F28" s="108" t="s">
        <v>14</v>
      </c>
      <c r="G28" s="108"/>
      <c r="H28" s="108"/>
      <c r="I28" s="108"/>
      <c r="J28" s="29">
        <f>calcolo!Q22+calcolo!Q23+calcolo!Q24+calcolo!Q25+calcolo!Q26+calcolo!Q27+calcolo!Q28</f>
        <v>0</v>
      </c>
      <c r="K28" s="108" t="s">
        <v>15</v>
      </c>
      <c r="L28" s="108"/>
      <c r="M28" s="108"/>
      <c r="N28" s="108"/>
      <c r="O28" s="108"/>
      <c r="P28" s="29">
        <f>D28+J28</f>
        <v>0</v>
      </c>
      <c r="Q28" s="138" t="s">
        <v>56</v>
      </c>
      <c r="R28" s="138"/>
      <c r="S28" s="138"/>
      <c r="T28" s="138"/>
      <c r="U28" s="138"/>
      <c r="V28" s="138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</row>
    <row r="29" spans="1:33" s="28" customFormat="1" ht="15" customHeight="1" x14ac:dyDescent="0.25">
      <c r="A29" s="107" t="s">
        <v>13</v>
      </c>
      <c r="B29" s="107"/>
      <c r="C29" s="107"/>
      <c r="D29" s="107"/>
      <c r="E29" s="107"/>
      <c r="F29" s="107"/>
      <c r="G29" s="107"/>
      <c r="H29" s="105" t="s">
        <v>66</v>
      </c>
      <c r="I29" s="106"/>
      <c r="J29" s="106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7"/>
      <c r="X29" s="47" t="s">
        <v>67</v>
      </c>
      <c r="Y29" s="7"/>
      <c r="Z29" s="7"/>
      <c r="AA29" s="7"/>
      <c r="AB29" s="7"/>
      <c r="AC29" s="7"/>
      <c r="AD29" s="7"/>
      <c r="AE29" s="7"/>
      <c r="AF29" s="7"/>
      <c r="AG29" s="7"/>
    </row>
    <row r="30" spans="1:33" ht="9.9499999999999993" customHeight="1" x14ac:dyDescent="0.25">
      <c r="A30" s="81"/>
      <c r="B30" s="81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</row>
    <row r="31" spans="1:33" ht="15" customHeight="1" x14ac:dyDescent="0.25">
      <c r="A31" s="135" t="s">
        <v>55</v>
      </c>
      <c r="B31" s="135"/>
      <c r="C31" s="135"/>
      <c r="D31" s="135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5"/>
      <c r="R31" s="135"/>
      <c r="S31" s="135"/>
      <c r="T31" s="135"/>
      <c r="U31" s="135"/>
      <c r="V31" s="135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</row>
    <row r="32" spans="1:33" ht="15" customHeight="1" x14ac:dyDescent="0.25">
      <c r="A32" s="98" t="s">
        <v>18</v>
      </c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134"/>
      <c r="T32" s="134"/>
      <c r="U32" s="134"/>
      <c r="V32" s="134"/>
      <c r="W32" s="3"/>
      <c r="X32" s="2"/>
      <c r="Z32" s="2"/>
      <c r="AA32" s="2"/>
      <c r="AB32" s="2"/>
      <c r="AC32" s="2"/>
      <c r="AD32" s="2"/>
      <c r="AE32" s="2"/>
      <c r="AF32" s="2"/>
      <c r="AG32" s="3"/>
    </row>
    <row r="33" spans="1:33" ht="15" customHeight="1" x14ac:dyDescent="0.25">
      <c r="A33" s="99" t="s">
        <v>19</v>
      </c>
      <c r="B33" s="99"/>
      <c r="C33" s="99"/>
      <c r="D33" s="99"/>
      <c r="E33" s="99"/>
      <c r="F33" s="99"/>
      <c r="G33" s="99"/>
      <c r="H33" s="99"/>
      <c r="I33" s="99"/>
      <c r="J33" s="99"/>
      <c r="K33" s="99"/>
      <c r="L33" s="99"/>
      <c r="M33" s="99"/>
      <c r="N33" s="99"/>
      <c r="O33" s="99"/>
      <c r="P33" s="99"/>
      <c r="Q33" s="99"/>
      <c r="R33" s="99"/>
      <c r="S33" s="94"/>
      <c r="T33" s="94"/>
      <c r="U33" s="94"/>
      <c r="V33" s="94"/>
      <c r="W33" s="3"/>
      <c r="X33" s="2"/>
      <c r="Y33" s="2"/>
      <c r="Z33" s="2"/>
      <c r="AA33" s="2"/>
      <c r="AB33" s="2"/>
      <c r="AC33" s="2"/>
      <c r="AD33" s="2"/>
      <c r="AE33" s="2"/>
      <c r="AF33" s="2"/>
      <c r="AG33" s="3"/>
    </row>
    <row r="34" spans="1:33" ht="15" customHeight="1" x14ac:dyDescent="0.25">
      <c r="A34" s="99" t="s">
        <v>20</v>
      </c>
      <c r="B34" s="99"/>
      <c r="C34" s="99"/>
      <c r="D34" s="99"/>
      <c r="E34" s="99"/>
      <c r="F34" s="99"/>
      <c r="G34" s="99"/>
      <c r="H34" s="126"/>
      <c r="I34" s="126"/>
      <c r="J34" s="126"/>
      <c r="K34" s="126"/>
      <c r="L34" s="126"/>
      <c r="M34" s="95"/>
      <c r="N34" s="95"/>
      <c r="O34" s="95"/>
      <c r="P34" s="95"/>
      <c r="Q34" s="95"/>
      <c r="R34" s="95"/>
      <c r="S34" s="94"/>
      <c r="T34" s="94"/>
      <c r="U34" s="94"/>
      <c r="V34" s="94"/>
      <c r="W34" s="3"/>
      <c r="X34" s="2"/>
      <c r="Y34" s="2"/>
      <c r="Z34" s="2"/>
      <c r="AA34" s="2"/>
      <c r="AB34" s="2"/>
      <c r="AC34" s="2"/>
      <c r="AD34" s="2"/>
      <c r="AE34" s="2"/>
      <c r="AF34" s="2"/>
      <c r="AG34" s="3"/>
    </row>
    <row r="35" spans="1:33" ht="15" customHeight="1" x14ac:dyDescent="0.25">
      <c r="A35" s="99" t="s">
        <v>21</v>
      </c>
      <c r="B35" s="99"/>
      <c r="C35" s="99"/>
      <c r="D35" s="99"/>
      <c r="E35" s="99"/>
      <c r="F35" s="99"/>
      <c r="G35" s="99"/>
      <c r="H35" s="99"/>
      <c r="I35" s="99"/>
      <c r="J35" s="99"/>
      <c r="K35" s="99"/>
      <c r="L35" s="126"/>
      <c r="M35" s="126"/>
      <c r="N35" s="126"/>
      <c r="O35" s="121"/>
      <c r="P35" s="121"/>
      <c r="Q35" s="121"/>
      <c r="R35" s="121"/>
      <c r="S35" s="94"/>
      <c r="T35" s="94"/>
      <c r="U35" s="94"/>
      <c r="V35" s="94"/>
      <c r="W35" s="3"/>
      <c r="X35" s="2"/>
      <c r="Y35" s="2"/>
      <c r="Z35" s="2"/>
      <c r="AA35" s="2"/>
      <c r="AB35" s="2"/>
      <c r="AC35" s="2"/>
      <c r="AD35" s="2"/>
      <c r="AE35" s="2"/>
      <c r="AF35" s="2"/>
      <c r="AG35" s="3"/>
    </row>
    <row r="36" spans="1:33" ht="15" customHeight="1" x14ac:dyDescent="0.25">
      <c r="A36" s="128" t="s">
        <v>53</v>
      </c>
      <c r="B36" s="128"/>
      <c r="C36" s="128"/>
      <c r="D36" s="128"/>
      <c r="E36" s="128"/>
      <c r="F36" s="128"/>
      <c r="G36" s="128"/>
      <c r="H36" s="128"/>
      <c r="I36" s="128"/>
      <c r="J36" s="128"/>
      <c r="K36" s="128"/>
      <c r="L36" s="128"/>
      <c r="M36" s="128"/>
      <c r="N36" s="128"/>
      <c r="O36" s="128"/>
      <c r="P36" s="128"/>
      <c r="Q36" s="128"/>
      <c r="R36" s="128"/>
      <c r="S36" s="122"/>
      <c r="T36" s="122"/>
      <c r="U36" s="122"/>
      <c r="V36" s="122"/>
      <c r="W36" s="3"/>
      <c r="X36" s="2"/>
      <c r="Y36" s="2"/>
      <c r="Z36" s="2"/>
      <c r="AA36" s="2"/>
      <c r="AB36" s="2"/>
      <c r="AC36" s="2"/>
      <c r="AD36" s="2"/>
      <c r="AE36" s="2"/>
      <c r="AF36" s="2"/>
      <c r="AG36" s="3"/>
    </row>
    <row r="37" spans="1:33" s="28" customFormat="1" ht="9.9499999999999993" customHeight="1" thickBot="1" x14ac:dyDescent="0.3">
      <c r="A37" s="116"/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</row>
    <row r="38" spans="1:33" ht="15" customHeight="1" thickBot="1" x14ac:dyDescent="0.3">
      <c r="A38" s="127" t="s">
        <v>63</v>
      </c>
      <c r="B38" s="127"/>
      <c r="C38" s="127"/>
      <c r="D38" s="127"/>
      <c r="E38" s="127"/>
      <c r="F38" s="127"/>
      <c r="G38" s="119" t="s">
        <v>64</v>
      </c>
      <c r="H38" s="120"/>
      <c r="I38" s="123" t="s">
        <v>66</v>
      </c>
      <c r="J38" s="123"/>
      <c r="K38" s="124"/>
      <c r="L38" s="52"/>
      <c r="M38" s="119" t="s">
        <v>65</v>
      </c>
      <c r="N38" s="120"/>
      <c r="O38" s="120"/>
      <c r="P38" s="123" t="s">
        <v>66</v>
      </c>
      <c r="Q38" s="123"/>
      <c r="R38" s="123"/>
      <c r="S38" s="124"/>
      <c r="T38" s="116"/>
      <c r="U38" s="125"/>
      <c r="V38" s="125"/>
      <c r="W38" s="3"/>
      <c r="X38" s="48" t="s">
        <v>67</v>
      </c>
      <c r="Y38" s="2"/>
      <c r="Z38" s="2"/>
      <c r="AA38" s="2"/>
      <c r="AB38" s="2"/>
      <c r="AC38" s="2"/>
      <c r="AD38" s="2"/>
      <c r="AE38" s="2"/>
      <c r="AF38" s="2"/>
      <c r="AG38" s="3"/>
    </row>
    <row r="39" spans="1:33" x14ac:dyDescent="0.25">
      <c r="A39" s="65" t="s">
        <v>73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</row>
    <row r="40" spans="1:33" ht="9.9499999999999993" customHeight="1" x14ac:dyDescent="0.25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</row>
    <row r="41" spans="1:33" ht="15" customHeight="1" x14ac:dyDescent="0.25">
      <c r="A41" s="67" t="s">
        <v>74</v>
      </c>
      <c r="B41" s="67"/>
      <c r="C41" s="68"/>
      <c r="D41" s="68"/>
      <c r="E41" s="68"/>
      <c r="F41" s="68"/>
      <c r="J41" s="64" t="s">
        <v>76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</row>
    <row r="42" spans="1:33" ht="22.5" customHeight="1" x14ac:dyDescent="0.25">
      <c r="A42" s="58"/>
      <c r="B42" s="58"/>
      <c r="C42" s="58"/>
      <c r="J42" s="64" t="s">
        <v>75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</row>
  </sheetData>
  <sheetProtection algorithmName="SHA-512" hashValue="T8RT2uhZMwNcdG7k8NSCPeYNUMSSXWazc6q23jh7INyLHaQ/aMuxHZTgPU0eyPR7nf1/7qCZrX89RaRlUcwbhg==" saltValue="JpWWj/CZ/oKlEBddxAQ4aQ==" spinCount="100000" sheet="1" objects="1" scenarios="1"/>
  <mergeCells count="98">
    <mergeCell ref="F28:I28"/>
    <mergeCell ref="M19:U20"/>
    <mergeCell ref="U9:V9"/>
    <mergeCell ref="S32:V32"/>
    <mergeCell ref="H34:L34"/>
    <mergeCell ref="A34:G34"/>
    <mergeCell ref="A30:V30"/>
    <mergeCell ref="A31:V31"/>
    <mergeCell ref="V19:V20"/>
    <mergeCell ref="M17:U18"/>
    <mergeCell ref="A11:M11"/>
    <mergeCell ref="A19:A20"/>
    <mergeCell ref="B27:J27"/>
    <mergeCell ref="U10:V10"/>
    <mergeCell ref="Q28:V28"/>
    <mergeCell ref="N9:P9"/>
    <mergeCell ref="A5:C5"/>
    <mergeCell ref="A3:E3"/>
    <mergeCell ref="D5:E5"/>
    <mergeCell ref="F5:V5"/>
    <mergeCell ref="A8:M8"/>
    <mergeCell ref="G38:H38"/>
    <mergeCell ref="M38:O38"/>
    <mergeCell ref="A35:K35"/>
    <mergeCell ref="A37:V37"/>
    <mergeCell ref="O35:R35"/>
    <mergeCell ref="S36:V36"/>
    <mergeCell ref="P38:S38"/>
    <mergeCell ref="T38:V38"/>
    <mergeCell ref="L35:N35"/>
    <mergeCell ref="A38:F38"/>
    <mergeCell ref="I38:K38"/>
    <mergeCell ref="A36:R36"/>
    <mergeCell ref="S35:V35"/>
    <mergeCell ref="H29:J29"/>
    <mergeCell ref="A29:G29"/>
    <mergeCell ref="A28:C28"/>
    <mergeCell ref="A2:V2"/>
    <mergeCell ref="A7:V7"/>
    <mergeCell ref="G3:V3"/>
    <mergeCell ref="D28:E28"/>
    <mergeCell ref="O8:P8"/>
    <mergeCell ref="O10:P10"/>
    <mergeCell ref="O11:P11"/>
    <mergeCell ref="O12:P12"/>
    <mergeCell ref="O13:P13"/>
    <mergeCell ref="K28:O28"/>
    <mergeCell ref="A6:V6"/>
    <mergeCell ref="U8:V8"/>
    <mergeCell ref="A4:V4"/>
    <mergeCell ref="S34:V34"/>
    <mergeCell ref="S33:V33"/>
    <mergeCell ref="M34:R34"/>
    <mergeCell ref="Q8:S8"/>
    <mergeCell ref="K29:V29"/>
    <mergeCell ref="V25:V26"/>
    <mergeCell ref="A32:R32"/>
    <mergeCell ref="A33:R33"/>
    <mergeCell ref="B17:J18"/>
    <mergeCell ref="B19:J20"/>
    <mergeCell ref="A21:A23"/>
    <mergeCell ref="L17:L18"/>
    <mergeCell ref="M27:U27"/>
    <mergeCell ref="U14:V14"/>
    <mergeCell ref="L19:L20"/>
    <mergeCell ref="A17:A18"/>
    <mergeCell ref="A1:V1"/>
    <mergeCell ref="A15:V15"/>
    <mergeCell ref="V22:V23"/>
    <mergeCell ref="K21:K23"/>
    <mergeCell ref="V17:V18"/>
    <mergeCell ref="A16:V16"/>
    <mergeCell ref="K19:K20"/>
    <mergeCell ref="M21:U21"/>
    <mergeCell ref="L22:L23"/>
    <mergeCell ref="M22:U23"/>
    <mergeCell ref="B21:J23"/>
    <mergeCell ref="A12:M12"/>
    <mergeCell ref="A9:M9"/>
    <mergeCell ref="A14:S14"/>
    <mergeCell ref="A13:M13"/>
    <mergeCell ref="A10:M10"/>
    <mergeCell ref="M25:U26"/>
    <mergeCell ref="B26:J26"/>
    <mergeCell ref="U11:V11"/>
    <mergeCell ref="U12:V12"/>
    <mergeCell ref="U13:V13"/>
    <mergeCell ref="K17:K18"/>
    <mergeCell ref="M24:U24"/>
    <mergeCell ref="B24:J24"/>
    <mergeCell ref="B25:J25"/>
    <mergeCell ref="L25:L26"/>
    <mergeCell ref="J42:V42"/>
    <mergeCell ref="A39:V39"/>
    <mergeCell ref="A40:V40"/>
    <mergeCell ref="A41:B41"/>
    <mergeCell ref="C41:F41"/>
    <mergeCell ref="J41:V41"/>
  </mergeCells>
  <conditionalFormatting sqref="U8 U10:U13">
    <cfRule type="cellIs" dxfId="21" priority="33" operator="equal">
      <formula>"NULL"</formula>
    </cfRule>
  </conditionalFormatting>
  <conditionalFormatting sqref="X23">
    <cfRule type="cellIs" dxfId="20" priority="31" operator="equal">
      <formula>3</formula>
    </cfRule>
  </conditionalFormatting>
  <conditionalFormatting sqref="O8 R10:R13 D5 F3 O10:O13">
    <cfRule type="cellIs" dxfId="19" priority="30" operator="equal">
      <formula>""</formula>
    </cfRule>
  </conditionalFormatting>
  <conditionalFormatting sqref="C41">
    <cfRule type="cellIs" dxfId="18" priority="1" operator="equal">
      <formula>""</formula>
    </cfRule>
  </conditionalFormatting>
  <pageMargins left="0.51181102362204722" right="0.51181102362204722" top="0.86614173228346458" bottom="0.74803149606299213" header="0.31496062992125984" footer="0.31496062992125984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66675</xdr:rowOff>
                  </from>
                  <to>
                    <xdr:col>11</xdr:col>
                    <xdr:colOff>38100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21</xdr:col>
                    <xdr:colOff>19050</xdr:colOff>
                    <xdr:row>18</xdr:row>
                    <xdr:rowOff>76200</xdr:rowOff>
                  </from>
                  <to>
                    <xdr:col>21</xdr:col>
                    <xdr:colOff>200025</xdr:colOff>
                    <xdr:row>19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10</xdr:col>
                    <xdr:colOff>28575</xdr:colOff>
                    <xdr:row>24</xdr:row>
                    <xdr:rowOff>171450</xdr:rowOff>
                  </from>
                  <to>
                    <xdr:col>11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21</xdr:col>
                    <xdr:colOff>19050</xdr:colOff>
                    <xdr:row>19</xdr:row>
                    <xdr:rowOff>180975</xdr:rowOff>
                  </from>
                  <to>
                    <xdr:col>21</xdr:col>
                    <xdr:colOff>200025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21</xdr:col>
                    <xdr:colOff>19050</xdr:colOff>
                    <xdr:row>16</xdr:row>
                    <xdr:rowOff>66675</xdr:rowOff>
                  </from>
                  <to>
                    <xdr:col>21</xdr:col>
                    <xdr:colOff>200025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eck Box 10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152400</xdr:rowOff>
                  </from>
                  <to>
                    <xdr:col>11</xdr:col>
                    <xdr:colOff>38100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>
                <anchor moveWithCells="1">
                  <from>
                    <xdr:col>10</xdr:col>
                    <xdr:colOff>28575</xdr:colOff>
                    <xdr:row>20</xdr:row>
                    <xdr:rowOff>152400</xdr:rowOff>
                  </from>
                  <to>
                    <xdr:col>11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66675</xdr:rowOff>
                  </from>
                  <to>
                    <xdr:col>11</xdr:col>
                    <xdr:colOff>38100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10</xdr:col>
                    <xdr:colOff>28575</xdr:colOff>
                    <xdr:row>23</xdr:row>
                    <xdr:rowOff>152400</xdr:rowOff>
                  </from>
                  <to>
                    <xdr:col>11</xdr:col>
                    <xdr:colOff>38100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10</xdr:col>
                    <xdr:colOff>28575</xdr:colOff>
                    <xdr:row>22</xdr:row>
                    <xdr:rowOff>152400</xdr:rowOff>
                  </from>
                  <to>
                    <xdr:col>11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21</xdr:col>
                    <xdr:colOff>19050</xdr:colOff>
                    <xdr:row>21</xdr:row>
                    <xdr:rowOff>66675</xdr:rowOff>
                  </from>
                  <to>
                    <xdr:col>21</xdr:col>
                    <xdr:colOff>190500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21</xdr:col>
                    <xdr:colOff>19050</xdr:colOff>
                    <xdr:row>22</xdr:row>
                    <xdr:rowOff>152400</xdr:rowOff>
                  </from>
                  <to>
                    <xdr:col>21</xdr:col>
                    <xdr:colOff>209550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21</xdr:col>
                    <xdr:colOff>19050</xdr:colOff>
                    <xdr:row>24</xdr:row>
                    <xdr:rowOff>66675</xdr:rowOff>
                  </from>
                  <to>
                    <xdr:col>21</xdr:col>
                    <xdr:colOff>209550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21</xdr:col>
                    <xdr:colOff>19050</xdr:colOff>
                    <xdr:row>25</xdr:row>
                    <xdr:rowOff>152400</xdr:rowOff>
                  </from>
                  <to>
                    <xdr:col>21</xdr:col>
                    <xdr:colOff>200025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8" name="Check Box 24">
              <controlPr defaultSize="0" autoFill="0" autoLine="0" autoPict="0">
                <anchor moveWithCells="1">
                  <from>
                    <xdr:col>18</xdr:col>
                    <xdr:colOff>114300</xdr:colOff>
                    <xdr:row>33</xdr:row>
                    <xdr:rowOff>161925</xdr:rowOff>
                  </from>
                  <to>
                    <xdr:col>19</xdr:col>
                    <xdr:colOff>200025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9" name="Check Box 26">
              <controlPr defaultSize="0" autoFill="0" autoLine="0" autoPict="0">
                <anchor moveWithCells="1">
                  <from>
                    <xdr:col>18</xdr:col>
                    <xdr:colOff>114300</xdr:colOff>
                    <xdr:row>32</xdr:row>
                    <xdr:rowOff>161925</xdr:rowOff>
                  </from>
                  <to>
                    <xdr:col>19</xdr:col>
                    <xdr:colOff>209550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0" name="Check Box 28">
              <controlPr defaultSize="0" autoFill="0" autoLine="0" autoPict="0">
                <anchor moveWithCells="1">
                  <from>
                    <xdr:col>18</xdr:col>
                    <xdr:colOff>114300</xdr:colOff>
                    <xdr:row>31</xdr:row>
                    <xdr:rowOff>161925</xdr:rowOff>
                  </from>
                  <to>
                    <xdr:col>19</xdr:col>
                    <xdr:colOff>209550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1" name="Check Box 29">
              <controlPr defaultSize="0" autoFill="0" autoLine="0" autoPict="0">
                <anchor moveWithCells="1">
                  <from>
                    <xdr:col>18</xdr:col>
                    <xdr:colOff>114300</xdr:colOff>
                    <xdr:row>30</xdr:row>
                    <xdr:rowOff>180975</xdr:rowOff>
                  </from>
                  <to>
                    <xdr:col>19</xdr:col>
                    <xdr:colOff>209550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2" name="Check Box 30">
              <controlPr defaultSize="0" autoFill="0" autoLine="0" autoPict="0">
                <anchor moveWithCells="1">
                  <from>
                    <xdr:col>18</xdr:col>
                    <xdr:colOff>114300</xdr:colOff>
                    <xdr:row>34</xdr:row>
                    <xdr:rowOff>161925</xdr:rowOff>
                  </from>
                  <to>
                    <xdr:col>19</xdr:col>
                    <xdr:colOff>209550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20</xdr:col>
                    <xdr:colOff>66675</xdr:colOff>
                    <xdr:row>30</xdr:row>
                    <xdr:rowOff>180975</xdr:rowOff>
                  </from>
                  <to>
                    <xdr:col>21</xdr:col>
                    <xdr:colOff>19050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4" name="Check Box 47">
              <controlPr defaultSize="0" autoFill="0" autoLine="0" autoPict="0">
                <anchor moveWithCells="1">
                  <from>
                    <xdr:col>20</xdr:col>
                    <xdr:colOff>66675</xdr:colOff>
                    <xdr:row>31</xdr:row>
                    <xdr:rowOff>161925</xdr:rowOff>
                  </from>
                  <to>
                    <xdr:col>21</xdr:col>
                    <xdr:colOff>19050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Check Box 49">
              <controlPr defaultSize="0" autoFill="0" autoLine="0" autoPict="0">
                <anchor moveWithCells="1">
                  <from>
                    <xdr:col>20</xdr:col>
                    <xdr:colOff>66675</xdr:colOff>
                    <xdr:row>32</xdr:row>
                    <xdr:rowOff>161925</xdr:rowOff>
                  </from>
                  <to>
                    <xdr:col>21</xdr:col>
                    <xdr:colOff>19050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Check Box 50">
              <controlPr defaultSize="0" autoFill="0" autoLine="0" autoPict="0">
                <anchor moveWithCells="1">
                  <from>
                    <xdr:col>20</xdr:col>
                    <xdr:colOff>66675</xdr:colOff>
                    <xdr:row>33</xdr:row>
                    <xdr:rowOff>161925</xdr:rowOff>
                  </from>
                  <to>
                    <xdr:col>21</xdr:col>
                    <xdr:colOff>19050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Check Box 51">
              <controlPr defaultSize="0" autoFill="0" autoLine="0" autoPict="0">
                <anchor moveWithCells="1">
                  <from>
                    <xdr:col>20</xdr:col>
                    <xdr:colOff>66675</xdr:colOff>
                    <xdr:row>34</xdr:row>
                    <xdr:rowOff>171450</xdr:rowOff>
                  </from>
                  <to>
                    <xdr:col>21</xdr:col>
                    <xdr:colOff>19050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5" id="{00000000-000E-0000-0000-000018000000}">
            <xm:f>IF(AND(calcolo!$G$24=FALSE,$H$34&lt;&gt;""),TRUE)</xm:f>
            <x14:dxf>
              <fill>
                <patternFill>
                  <bgColor rgb="FFFF6969"/>
                </patternFill>
              </fill>
            </x14:dxf>
          </x14:cfRule>
          <x14:cfRule type="expression" priority="36" id="{D67C1153-3CB7-4AA3-A9D3-CF4C753166A7}">
            <xm:f>IF(calcolo!$C$24="Err",TRUE,)</xm:f>
            <x14:dxf>
              <fill>
                <patternFill>
                  <bgColor rgb="FFFFF468"/>
                </patternFill>
              </fill>
            </x14:dxf>
          </x14:cfRule>
          <xm:sqref>H34</xm:sqref>
        </x14:conditionalFormatting>
        <x14:conditionalFormatting xmlns:xm="http://schemas.microsoft.com/office/excel/2006/main">
          <x14:cfRule type="expression" priority="37" id="{D5450860-7F42-4548-94D4-1A9E7A17D770}">
            <xm:f>IF(calcolo!$C$25="Err",TRUE,)</xm:f>
            <x14:dxf>
              <fill>
                <patternFill>
                  <bgColor rgb="FFFFF468"/>
                </patternFill>
              </fill>
            </x14:dxf>
          </x14:cfRule>
          <x14:cfRule type="expression" priority="38" id="{5BF25F71-7FFB-497D-9882-A35C4AECEF21}">
            <xm:f>IF(AND(calcolo!$G$25=FALSE,$L$35&lt;&gt;""),TRUE)</xm:f>
            <x14:dxf>
              <fill>
                <patternFill>
                  <bgColor rgb="FFFF6969"/>
                </patternFill>
              </fill>
            </x14:dxf>
          </x14:cfRule>
          <xm:sqref>L35</xm:sqref>
        </x14:conditionalFormatting>
        <x14:conditionalFormatting xmlns:xm="http://schemas.microsoft.com/office/excel/2006/main">
          <x14:cfRule type="expression" priority="22" id="{00000000-000E-0000-0000-00000D000000}">
            <xm:f>IF(calcolo!$I$22=2,TRUE,)</xm:f>
            <x14:dxf>
              <fill>
                <patternFill>
                  <bgColor rgb="FFFF6969"/>
                </patternFill>
              </fill>
            </x14:dxf>
          </x14:cfRule>
          <x14:cfRule type="expression" priority="23" id="{00000000-000E-0000-0000-00000E000000}">
            <xm:f>IF(calcolo!$I$22=0,TRUE,)</xm:f>
            <x14:dxf>
              <fill>
                <patternFill>
                  <bgColor rgb="FFFFF469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2" id="{89292424-3A13-44AE-9ECC-E68AA46EDAE3}">
            <xm:f>IF(calcolo!$I$23=0,TRUE,)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9" id="{849C745F-3FFF-45B4-9533-C607D6EEB9FE}">
            <xm:f>IF(calcolo!$I$23=2,TRUE,)</xm:f>
            <x14:dxf>
              <fill>
                <patternFill>
                  <bgColor rgb="FFFF6969"/>
                </patternFill>
              </fill>
            </x14:dxf>
          </x14:cfRule>
          <xm:sqref>S33:V33</xm:sqref>
        </x14:conditionalFormatting>
        <x14:conditionalFormatting xmlns:xm="http://schemas.microsoft.com/office/excel/2006/main">
          <x14:cfRule type="expression" priority="3" id="{9DE98A37-6A03-40D9-9713-9A1C46B0C33A}">
            <xm:f>IF(calcolo!$I$24=0,TRUE,)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8" id="{64C6BD5D-1B16-45B8-9FAE-95A4FCDFC2AE}">
            <xm:f>IF(calcolo!$I$24=2,TRUE,)</xm:f>
            <x14:dxf>
              <fill>
                <patternFill>
                  <bgColor rgb="FFFF6969"/>
                </patternFill>
              </fill>
            </x14:dxf>
          </x14:cfRule>
          <xm:sqref>S34:V34</xm:sqref>
        </x14:conditionalFormatting>
        <x14:conditionalFormatting xmlns:xm="http://schemas.microsoft.com/office/excel/2006/main">
          <x14:cfRule type="expression" priority="4" id="{BF578D0E-C679-41CE-B051-5221104AE825}">
            <xm:f>IF(calcolo!$I$25=0,TRUE,)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7" id="{8067F25C-2286-438B-BB04-F43A42A79CC2}">
            <xm:f>IF(calcolo!$I$25=2,TRUE,)</xm:f>
            <x14:dxf>
              <fill>
                <patternFill>
                  <bgColor rgb="FFFF6969"/>
                </patternFill>
              </fill>
            </x14:dxf>
          </x14:cfRule>
          <xm:sqref>S35:V35</xm:sqref>
        </x14:conditionalFormatting>
        <x14:conditionalFormatting xmlns:xm="http://schemas.microsoft.com/office/excel/2006/main">
          <x14:cfRule type="expression" priority="5" id="{4DE7AB52-8F47-479D-863A-A5C80823FCF0}">
            <xm:f>IF(calcolo!$I$26=0,TRUE,)</xm:f>
            <x14:dxf>
              <fill>
                <patternFill>
                  <bgColor rgb="FFFFF469"/>
                </patternFill>
              </fill>
            </x14:dxf>
          </x14:cfRule>
          <x14:cfRule type="expression" priority="6" id="{28E4D9BF-2AF9-456D-8055-8D8AF32EE016}">
            <xm:f>IF(calcolo!$I$26=2,TRUE,)</xm:f>
            <x14:dxf>
              <fill>
                <patternFill>
                  <bgColor rgb="FFFF6969"/>
                </patternFill>
              </fill>
            </x14:dxf>
          </x14:cfRule>
          <xm:sqref>S36:V36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xr:uid="{00000000-0002-0000-0000-000001000000}">
          <x14:formula1>
            <xm:f>calcolo!$D$22:$D$27</xm:f>
          </x14:formula1>
          <xm:sqref>H34</xm:sqref>
        </x14:dataValidation>
        <x14:dataValidation type="list" showInputMessage="1" showErrorMessage="1" xr:uid="{00000000-0002-0000-0000-000002000000}">
          <x14:formula1>
            <xm:f>calcolo!$E$22:$E$25</xm:f>
          </x14:formula1>
          <xm:sqref>L35</xm:sqref>
        </x14:dataValidation>
        <x14:dataValidation type="list" showInputMessage="1" showErrorMessage="1" xr:uid="{00000000-0002-0000-0000-000003000000}">
          <x14:formula1>
            <xm:f>calcolo!$B$22:$B$28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3382-34EF-47B3-A00F-A571F3388117}">
  <sheetPr codeName="Foglio3">
    <pageSetUpPr fitToPage="1"/>
  </sheetPr>
  <dimension ref="A1:M11"/>
  <sheetViews>
    <sheetView zoomScale="115" zoomScaleNormal="115" workbookViewId="0">
      <selection sqref="A1:J1"/>
    </sheetView>
  </sheetViews>
  <sheetFormatPr defaultRowHeight="15" x14ac:dyDescent="0.25"/>
  <cols>
    <col min="1" max="1" width="8.140625" customWidth="1"/>
    <col min="2" max="2" width="14.140625" customWidth="1"/>
    <col min="3" max="3" width="11.140625" customWidth="1"/>
    <col min="4" max="4" width="13" customWidth="1"/>
    <col min="5" max="5" width="3.5703125" customWidth="1"/>
    <col min="6" max="6" width="14.28515625" customWidth="1"/>
    <col min="7" max="7" width="2.5703125" customWidth="1"/>
    <col min="8" max="8" width="10" customWidth="1"/>
    <col min="9" max="9" width="5.7109375" customWidth="1"/>
    <col min="10" max="10" width="6.42578125" customWidth="1"/>
    <col min="11" max="11" width="3.5703125" customWidth="1"/>
    <col min="12" max="12" width="6.85546875" customWidth="1"/>
    <col min="13" max="13" width="5.7109375" customWidth="1"/>
    <col min="14" max="14" width="7.140625" customWidth="1"/>
  </cols>
  <sheetData>
    <row r="1" spans="1:13" ht="24" customHeight="1" thickBot="1" x14ac:dyDescent="0.3">
      <c r="A1" s="78" t="s">
        <v>68</v>
      </c>
      <c r="B1" s="79"/>
      <c r="C1" s="79"/>
      <c r="D1" s="79"/>
      <c r="E1" s="79"/>
      <c r="F1" s="79"/>
      <c r="G1" s="79"/>
      <c r="H1" s="79"/>
      <c r="I1" s="79"/>
      <c r="J1" s="80"/>
    </row>
    <row r="2" spans="1:13" x14ac:dyDescent="0.25">
      <c r="A2" s="146" t="s">
        <v>69</v>
      </c>
      <c r="B2" s="146"/>
      <c r="C2" s="146"/>
      <c r="D2" s="146"/>
      <c r="E2" s="146"/>
      <c r="F2" s="55" t="s">
        <v>1</v>
      </c>
      <c r="G2" s="147" t="str">
        <f>Prospetto_totale!U14</f>
        <v>Attivare macro, salvare, e riaprire il programma</v>
      </c>
      <c r="H2" s="147"/>
      <c r="I2" s="148"/>
      <c r="J2" s="148"/>
    </row>
    <row r="3" spans="1:13" x14ac:dyDescent="0.25">
      <c r="A3" s="149" t="s">
        <v>70</v>
      </c>
      <c r="B3" s="149"/>
      <c r="C3" s="149"/>
      <c r="D3" s="149"/>
      <c r="E3" s="149"/>
      <c r="F3" s="55" t="s">
        <v>1</v>
      </c>
      <c r="G3" s="150"/>
      <c r="H3" s="150"/>
      <c r="I3" s="125"/>
      <c r="J3" s="125"/>
    </row>
    <row r="4" spans="1:13" x14ac:dyDescent="0.25">
      <c r="A4" s="149" t="s">
        <v>71</v>
      </c>
      <c r="B4" s="149"/>
      <c r="C4" s="149"/>
      <c r="D4" s="149"/>
      <c r="E4" s="149"/>
      <c r="F4" s="55" t="s">
        <v>1</v>
      </c>
      <c r="G4" s="150"/>
      <c r="H4" s="150"/>
      <c r="I4" s="125"/>
      <c r="J4" s="125"/>
    </row>
    <row r="5" spans="1:13" x14ac:dyDescent="0.25">
      <c r="A5" s="149" t="s">
        <v>72</v>
      </c>
      <c r="B5" s="149"/>
      <c r="C5" s="149"/>
      <c r="D5" s="149"/>
      <c r="E5" s="149"/>
      <c r="F5" s="55" t="s">
        <v>1</v>
      </c>
      <c r="G5" s="151" t="e">
        <f>G2-G3-G4</f>
        <v>#VALUE!</v>
      </c>
      <c r="H5" s="151"/>
      <c r="I5" s="125"/>
      <c r="J5" s="125"/>
    </row>
    <row r="6" spans="1:13" ht="9.9499999999999993" customHeight="1" thickBot="1" x14ac:dyDescent="0.3">
      <c r="A6" s="142"/>
      <c r="B6" s="142"/>
      <c r="C6" s="142"/>
      <c r="D6" s="142"/>
      <c r="E6" s="142"/>
      <c r="F6" s="142"/>
      <c r="G6" s="142"/>
      <c r="H6" s="142"/>
      <c r="I6" s="142"/>
      <c r="J6" s="142"/>
    </row>
    <row r="7" spans="1:13" ht="16.5" thickBot="1" x14ac:dyDescent="0.3">
      <c r="A7" s="143" t="s">
        <v>63</v>
      </c>
      <c r="B7" s="143"/>
      <c r="C7" s="59" t="s">
        <v>64</v>
      </c>
      <c r="D7" s="60" t="e">
        <f>G3/(G4+G3)*Prospetto_totale!I38</f>
        <v>#DIV/0!</v>
      </c>
      <c r="F7" s="59" t="s">
        <v>65</v>
      </c>
      <c r="G7" s="144" t="e">
        <f>G3/(G4+G3)*Prospetto_totale!P38</f>
        <v>#DIV/0!</v>
      </c>
      <c r="H7" s="144"/>
      <c r="I7" s="63"/>
      <c r="J7" s="62"/>
    </row>
    <row r="8" spans="1:13" x14ac:dyDescent="0.25">
      <c r="A8" s="140" t="s">
        <v>73</v>
      </c>
      <c r="B8" s="140"/>
      <c r="C8" s="140"/>
      <c r="D8" s="140"/>
      <c r="E8" s="140"/>
      <c r="F8" s="140"/>
      <c r="G8" s="140"/>
      <c r="H8" s="140"/>
      <c r="I8" s="141"/>
      <c r="J8" s="141"/>
    </row>
    <row r="9" spans="1:13" ht="9.9499999999999993" customHeight="1" x14ac:dyDescent="0.25">
      <c r="A9" s="142"/>
      <c r="B9" s="142"/>
      <c r="C9" s="142"/>
      <c r="D9" s="142"/>
      <c r="E9" s="142"/>
      <c r="F9" s="142"/>
      <c r="G9" s="142"/>
      <c r="H9" s="142"/>
      <c r="I9" s="142"/>
      <c r="J9" s="142"/>
    </row>
    <row r="10" spans="1:13" ht="15" customHeight="1" x14ac:dyDescent="0.25">
      <c r="A10" s="56" t="s">
        <v>74</v>
      </c>
      <c r="B10" s="155">
        <f>Prospetto_totale!C41</f>
        <v>0</v>
      </c>
      <c r="C10" s="57"/>
      <c r="D10" s="145" t="str">
        <f>Prospetto_totale!J41</f>
        <v>L'agenzia immobiliare</v>
      </c>
      <c r="E10" s="145"/>
      <c r="F10" s="145"/>
      <c r="G10" s="145"/>
      <c r="H10" s="145"/>
      <c r="I10" s="145"/>
      <c r="J10" s="145"/>
      <c r="M10" s="61"/>
    </row>
    <row r="11" spans="1:13" ht="22.5" customHeight="1" x14ac:dyDescent="0.25">
      <c r="A11" s="58"/>
      <c r="B11" s="58"/>
      <c r="C11" s="58"/>
      <c r="D11" s="64" t="s">
        <v>75</v>
      </c>
      <c r="E11" s="64"/>
      <c r="F11" s="64"/>
      <c r="G11" s="64"/>
      <c r="H11" s="64"/>
      <c r="I11" s="64"/>
      <c r="J11" s="64"/>
    </row>
  </sheetData>
  <sheetProtection algorithmName="SHA-512" hashValue="mwTBoBlSm5REVCp7bzz/X4Vz0DUE0CNBKDxMv9YYLmqiOVyj39Yl2ytaHo7xt6jWCyE6uoA0I2wWNF61+WmpbQ==" saltValue="ywBGNeTuPNmLUpG+2qoIgg==" spinCount="100000" sheet="1" objects="1" scenarios="1"/>
  <mergeCells count="20">
    <mergeCell ref="D11:J11"/>
    <mergeCell ref="A1:J1"/>
    <mergeCell ref="A2:E2"/>
    <mergeCell ref="G2:H2"/>
    <mergeCell ref="I2:J2"/>
    <mergeCell ref="A3:E3"/>
    <mergeCell ref="G3:H3"/>
    <mergeCell ref="I3:J3"/>
    <mergeCell ref="A4:E4"/>
    <mergeCell ref="G4:H4"/>
    <mergeCell ref="I4:J4"/>
    <mergeCell ref="A5:E5"/>
    <mergeCell ref="G5:H5"/>
    <mergeCell ref="I5:J5"/>
    <mergeCell ref="A6:J6"/>
    <mergeCell ref="A8:J8"/>
    <mergeCell ref="A9:J9"/>
    <mergeCell ref="A7:B7"/>
    <mergeCell ref="G7:H7"/>
    <mergeCell ref="D10:J10"/>
  </mergeCells>
  <conditionalFormatting sqref="G3:G4">
    <cfRule type="cellIs" dxfId="1" priority="1" operator="equal">
      <formula>""</formula>
    </cfRule>
  </conditionalFormatting>
  <pageMargins left="0.7" right="0.7" top="0.75" bottom="0.75" header="0.3" footer="0.3"/>
  <pageSetup paperSize="9" scale="98" fitToHeight="0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IF(Prospetto_totale!$C$41 = 0, TRUE,)</xm:f>
            <x14:dxf>
              <font>
                <color rgb="FFFFF469"/>
              </font>
              <fill>
                <patternFill>
                  <bgColor rgb="FFFFF469"/>
                </patternFill>
              </fill>
            </x14:dxf>
          </x14:cfRule>
          <xm:sqref>B10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ZZ100"/>
  <sheetViews>
    <sheetView zoomScaleNormal="100" workbookViewId="0"/>
  </sheetViews>
  <sheetFormatPr defaultColWidth="8.85546875" defaultRowHeight="15" x14ac:dyDescent="0.25"/>
  <cols>
    <col min="1" max="1" width="9.7109375" style="3" customWidth="1"/>
    <col min="2" max="2" width="2" style="3" bestFit="1" customWidth="1"/>
    <col min="3" max="16384" width="8.85546875" style="3"/>
  </cols>
  <sheetData>
    <row r="1" spans="1:19" ht="15.75" x14ac:dyDescent="0.25">
      <c r="A1" s="13"/>
      <c r="B1" s="53"/>
      <c r="C1" s="153" t="s">
        <v>59</v>
      </c>
      <c r="D1" s="153"/>
      <c r="E1" s="153" t="s">
        <v>42</v>
      </c>
      <c r="F1" s="153"/>
      <c r="G1" s="153" t="s">
        <v>43</v>
      </c>
      <c r="H1" s="153"/>
    </row>
    <row r="2" spans="1:19" x14ac:dyDescent="0.25">
      <c r="A2" s="3" t="s">
        <v>41</v>
      </c>
      <c r="B2" s="3">
        <v>1</v>
      </c>
      <c r="C2" s="49">
        <v>4</v>
      </c>
      <c r="D2" s="49">
        <v>8.6999999999999993</v>
      </c>
      <c r="E2" s="49">
        <v>6</v>
      </c>
      <c r="F2" s="49">
        <v>11.25</v>
      </c>
      <c r="G2" s="49">
        <v>8</v>
      </c>
      <c r="H2" s="49">
        <v>15.1</v>
      </c>
      <c r="J2" s="154" t="s">
        <v>44</v>
      </c>
      <c r="K2" s="154"/>
      <c r="L2" s="154"/>
    </row>
    <row r="3" spans="1:19" x14ac:dyDescent="0.25">
      <c r="A3" s="3" t="s">
        <v>41</v>
      </c>
      <c r="B3" s="3">
        <v>2</v>
      </c>
      <c r="C3" s="49">
        <v>3</v>
      </c>
      <c r="D3" s="49">
        <v>6.8</v>
      </c>
      <c r="E3" s="49">
        <v>4.5</v>
      </c>
      <c r="F3" s="49">
        <v>9.3000000000000007</v>
      </c>
      <c r="G3" s="49">
        <v>6.5</v>
      </c>
      <c r="H3" s="49">
        <v>11.25</v>
      </c>
      <c r="J3" s="154"/>
      <c r="K3" s="154"/>
      <c r="L3" s="154"/>
    </row>
    <row r="4" spans="1:19" x14ac:dyDescent="0.25">
      <c r="A4" s="3" t="s">
        <v>41</v>
      </c>
      <c r="B4" s="3">
        <v>3</v>
      </c>
      <c r="C4" s="49">
        <v>3</v>
      </c>
      <c r="D4" s="49">
        <v>4.5</v>
      </c>
      <c r="E4" s="49">
        <v>3</v>
      </c>
      <c r="F4" s="49">
        <v>6.8</v>
      </c>
      <c r="G4" s="49">
        <v>4.5</v>
      </c>
      <c r="H4" s="49">
        <v>8.4</v>
      </c>
      <c r="J4" s="154"/>
      <c r="K4" s="154"/>
      <c r="L4" s="154"/>
    </row>
    <row r="5" spans="1:19" x14ac:dyDescent="0.25">
      <c r="A5" s="3" t="s">
        <v>41</v>
      </c>
      <c r="B5" s="3">
        <v>4</v>
      </c>
      <c r="C5" s="49">
        <v>3</v>
      </c>
      <c r="D5" s="49">
        <v>5.5</v>
      </c>
      <c r="E5" s="49">
        <v>4</v>
      </c>
      <c r="F5" s="49">
        <v>6.8</v>
      </c>
      <c r="G5" s="49">
        <v>4.5999999999999996</v>
      </c>
      <c r="H5" s="49">
        <v>8.8000000000000007</v>
      </c>
      <c r="J5" s="154"/>
      <c r="K5" s="154"/>
      <c r="L5" s="154"/>
    </row>
    <row r="6" spans="1:19" x14ac:dyDescent="0.25">
      <c r="A6" s="3" t="s">
        <v>41</v>
      </c>
      <c r="B6" s="3">
        <v>5</v>
      </c>
      <c r="C6" s="49">
        <v>3</v>
      </c>
      <c r="D6" s="49">
        <v>6.2</v>
      </c>
      <c r="E6" s="49">
        <v>4</v>
      </c>
      <c r="F6" s="49">
        <v>9.5</v>
      </c>
      <c r="G6" s="49">
        <v>6</v>
      </c>
      <c r="H6" s="49">
        <v>11.3</v>
      </c>
      <c r="J6" s="154"/>
      <c r="K6" s="154"/>
      <c r="L6" s="154"/>
    </row>
    <row r="7" spans="1:19" x14ac:dyDescent="0.25">
      <c r="A7" s="3" t="s">
        <v>41</v>
      </c>
      <c r="B7" s="3">
        <v>6</v>
      </c>
      <c r="C7" s="49">
        <v>3</v>
      </c>
      <c r="D7" s="49">
        <v>6</v>
      </c>
      <c r="E7" s="49">
        <v>4</v>
      </c>
      <c r="F7" s="49">
        <v>7.9</v>
      </c>
      <c r="G7" s="49">
        <v>5</v>
      </c>
      <c r="H7" s="49">
        <v>8.6</v>
      </c>
      <c r="J7" s="154"/>
      <c r="K7" s="154"/>
      <c r="L7" s="154"/>
      <c r="N7" s="23">
        <f>IF(Prospetto_totale!H29="Massima",6,IF(Prospetto_totale!H29="Media",4,2))</f>
        <v>2</v>
      </c>
      <c r="O7" s="23">
        <f>N7+1</f>
        <v>3</v>
      </c>
      <c r="P7" s="152" t="s">
        <v>46</v>
      </c>
      <c r="Q7" s="152"/>
      <c r="R7" s="152"/>
      <c r="S7" s="8"/>
    </row>
    <row r="8" spans="1:19" ht="15.75" thickBot="1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N8" s="23"/>
      <c r="O8" s="23"/>
    </row>
    <row r="9" spans="1:19" ht="15.75" thickTop="1" x14ac:dyDescent="0.25">
      <c r="A9" s="25"/>
      <c r="N9" s="23" t="e">
        <f>IF(Prospetto_totale!U14&lt;=60,VLOOKUP(Prospetto_totale!F3,calcolo!B2:H7,N7,FALSE),VLOOKUP(Prospetto_totale!F3,B10:H15,N7,FALSE))</f>
        <v>#N/A</v>
      </c>
      <c r="O9" s="23" t="e">
        <f>IF(Prospetto_totale!U14&lt;=60,VLOOKUP(Prospetto_totale!F3,calcolo!B2:H7,O7,FALSE),VLOOKUP(Prospetto_totale!F3,B10:H15,O7,FALSE))</f>
        <v>#N/A</v>
      </c>
      <c r="P9" s="152" t="s">
        <v>47</v>
      </c>
      <c r="Q9" s="152"/>
      <c r="R9" s="152"/>
    </row>
    <row r="10" spans="1:19" ht="14.45" customHeight="1" x14ac:dyDescent="0.25">
      <c r="A10" s="3" t="s">
        <v>41</v>
      </c>
      <c r="B10" s="3">
        <v>1</v>
      </c>
      <c r="C10" s="49">
        <v>4</v>
      </c>
      <c r="D10" s="49">
        <v>8.5</v>
      </c>
      <c r="E10" s="49">
        <v>5.5</v>
      </c>
      <c r="F10" s="49">
        <v>11.2</v>
      </c>
      <c r="G10" s="49">
        <v>8</v>
      </c>
      <c r="H10" s="49">
        <v>14.8</v>
      </c>
      <c r="J10" s="154" t="s">
        <v>45</v>
      </c>
      <c r="K10" s="154"/>
      <c r="L10" s="154"/>
    </row>
    <row r="11" spans="1:19" ht="14.45" customHeight="1" x14ac:dyDescent="0.25">
      <c r="A11" s="3" t="s">
        <v>41</v>
      </c>
      <c r="B11" s="3">
        <v>2</v>
      </c>
      <c r="C11" s="49">
        <v>3</v>
      </c>
      <c r="D11" s="49">
        <v>6.7</v>
      </c>
      <c r="E11" s="49">
        <v>4</v>
      </c>
      <c r="F11" s="49">
        <v>9.3000000000000007</v>
      </c>
      <c r="G11" s="49">
        <v>6</v>
      </c>
      <c r="H11" s="49">
        <v>11.1</v>
      </c>
      <c r="J11" s="154"/>
      <c r="K11" s="154"/>
      <c r="L11" s="154"/>
      <c r="N11" s="23" t="e">
        <f>N9*calcolo!C27+calcolo!N9</f>
        <v>#N/A</v>
      </c>
      <c r="O11" s="23" t="e">
        <f>O9*calcolo!C27+calcolo!O9</f>
        <v>#N/A</v>
      </c>
      <c r="P11" s="152" t="s">
        <v>48</v>
      </c>
      <c r="Q11" s="152"/>
      <c r="R11" s="152"/>
    </row>
    <row r="12" spans="1:19" x14ac:dyDescent="0.25">
      <c r="A12" s="3" t="s">
        <v>41</v>
      </c>
      <c r="B12" s="3">
        <v>3</v>
      </c>
      <c r="C12" s="49">
        <v>2.5</v>
      </c>
      <c r="D12" s="49">
        <v>4.9000000000000004</v>
      </c>
      <c r="E12" s="49">
        <v>3</v>
      </c>
      <c r="F12" s="49">
        <v>6.5</v>
      </c>
      <c r="G12" s="49">
        <v>4.5</v>
      </c>
      <c r="H12" s="49">
        <v>8.3000000000000007</v>
      </c>
      <c r="J12" s="154"/>
      <c r="K12" s="154"/>
      <c r="L12" s="154"/>
    </row>
    <row r="13" spans="1:19" x14ac:dyDescent="0.25">
      <c r="A13" s="3" t="s">
        <v>41</v>
      </c>
      <c r="B13" s="3">
        <v>4</v>
      </c>
      <c r="C13" s="49">
        <v>3</v>
      </c>
      <c r="D13" s="49">
        <v>5.3</v>
      </c>
      <c r="E13" s="49">
        <v>4</v>
      </c>
      <c r="F13" s="49">
        <v>6.9</v>
      </c>
      <c r="G13" s="49">
        <v>6</v>
      </c>
      <c r="H13" s="49">
        <v>8.6</v>
      </c>
      <c r="J13" s="154"/>
      <c r="K13" s="154"/>
      <c r="L13" s="154"/>
    </row>
    <row r="14" spans="1:19" x14ac:dyDescent="0.25">
      <c r="A14" s="3" t="s">
        <v>41</v>
      </c>
      <c r="B14" s="3">
        <v>5</v>
      </c>
      <c r="C14" s="49">
        <v>3</v>
      </c>
      <c r="D14" s="49">
        <v>5.9</v>
      </c>
      <c r="E14" s="49">
        <v>4</v>
      </c>
      <c r="F14" s="49">
        <v>9.3000000000000007</v>
      </c>
      <c r="G14" s="49">
        <v>6</v>
      </c>
      <c r="H14" s="49">
        <v>11.4</v>
      </c>
      <c r="J14" s="154"/>
      <c r="K14" s="154"/>
      <c r="L14" s="154"/>
    </row>
    <row r="15" spans="1:19" x14ac:dyDescent="0.25">
      <c r="A15" s="3" t="s">
        <v>41</v>
      </c>
      <c r="B15" s="3">
        <v>6</v>
      </c>
      <c r="C15" s="49">
        <v>3</v>
      </c>
      <c r="D15" s="49">
        <v>6</v>
      </c>
      <c r="E15" s="49">
        <v>4</v>
      </c>
      <c r="F15" s="49">
        <v>7.9</v>
      </c>
      <c r="G15" s="49">
        <v>5</v>
      </c>
      <c r="H15" s="49">
        <v>8.6</v>
      </c>
      <c r="J15" s="154"/>
      <c r="K15" s="154"/>
      <c r="L15" s="154"/>
    </row>
    <row r="16" spans="1:19" x14ac:dyDescent="0.25">
      <c r="J16" s="26"/>
      <c r="K16" s="26"/>
      <c r="L16" s="26"/>
    </row>
    <row r="18" spans="1:20" x14ac:dyDescent="0.25">
      <c r="T18" s="13"/>
    </row>
    <row r="19" spans="1:20" x14ac:dyDescent="0.25">
      <c r="M19" s="27"/>
      <c r="N19" s="27"/>
      <c r="O19" s="27"/>
      <c r="P19" s="27"/>
      <c r="Q19" s="27"/>
      <c r="T19" s="13"/>
    </row>
    <row r="20" spans="1:20" x14ac:dyDescent="0.25">
      <c r="M20" s="27"/>
      <c r="N20" s="27"/>
      <c r="O20" s="27"/>
      <c r="P20" s="27"/>
      <c r="Q20" s="27"/>
      <c r="T20" s="13"/>
    </row>
    <row r="21" spans="1:20" x14ac:dyDescent="0.25">
      <c r="M21" s="27"/>
      <c r="N21" s="27"/>
      <c r="O21" s="27"/>
      <c r="P21" s="27"/>
      <c r="Q21" s="27"/>
      <c r="T21" s="13"/>
    </row>
    <row r="22" spans="1:20" x14ac:dyDescent="0.25">
      <c r="B22" s="3">
        <v>1</v>
      </c>
      <c r="C22" s="10">
        <f>IF(G22=TRUE,0.1,0)</f>
        <v>0</v>
      </c>
      <c r="D22" s="3" t="s">
        <v>36</v>
      </c>
      <c r="E22" s="11" t="s">
        <v>33</v>
      </c>
      <c r="G22" s="13" t="b">
        <v>0</v>
      </c>
      <c r="H22" s="13" t="b">
        <v>0</v>
      </c>
      <c r="I22" s="3">
        <f>H22+G22</f>
        <v>0</v>
      </c>
      <c r="M22" s="27"/>
      <c r="N22" s="27">
        <v>1</v>
      </c>
      <c r="O22" s="22" t="b">
        <v>0</v>
      </c>
      <c r="P22" s="27">
        <v>8</v>
      </c>
      <c r="Q22" s="22" t="b">
        <v>0</v>
      </c>
      <c r="T22" s="13"/>
    </row>
    <row r="23" spans="1:20" x14ac:dyDescent="0.25">
      <c r="B23" s="3">
        <v>2</v>
      </c>
      <c r="C23" s="10">
        <f>IF(G23=TRUE,IF(Prospetto_totale!U8&lt;=55,0.2,0.15),0)</f>
        <v>0</v>
      </c>
      <c r="D23" s="3" t="s">
        <v>37</v>
      </c>
      <c r="E23" s="11" t="s">
        <v>34</v>
      </c>
      <c r="G23" s="13" t="b">
        <v>0</v>
      </c>
      <c r="H23" s="13" t="b">
        <v>0</v>
      </c>
      <c r="I23" s="3">
        <f t="shared" ref="I23:I26" si="0">H23+G23</f>
        <v>0</v>
      </c>
      <c r="M23" s="27"/>
      <c r="N23" s="27">
        <v>2</v>
      </c>
      <c r="O23" s="22" t="b">
        <v>0</v>
      </c>
      <c r="P23" s="27">
        <v>9</v>
      </c>
      <c r="Q23" s="22" t="b">
        <v>0</v>
      </c>
      <c r="T23" s="13"/>
    </row>
    <row r="24" spans="1:20" x14ac:dyDescent="0.25">
      <c r="B24" s="3">
        <v>3</v>
      </c>
      <c r="C24" s="10">
        <f>IF(AND(G24=TRUE,OR(Prospetto_totale!H34=calcolo!D23,Prospetto_totale!H34=calcolo!D24,Prospetto_totale!H34=calcolo!D22,)),0.1,IF(AND(G24=TRUE,OR(Prospetto_totale!H34=calcolo!D25,Prospetto_totale!H34=calcolo!D26,)),0.05,IF((G24=FALSE),0,"Err")))</f>
        <v>0</v>
      </c>
      <c r="D24" s="3" t="s">
        <v>38</v>
      </c>
      <c r="E24" s="12" t="s">
        <v>35</v>
      </c>
      <c r="G24" s="13" t="b">
        <v>0</v>
      </c>
      <c r="H24" s="13" t="b">
        <v>0</v>
      </c>
      <c r="I24" s="3">
        <f t="shared" si="0"/>
        <v>0</v>
      </c>
      <c r="J24" s="3" t="b">
        <f>OR(AND(Prospetto_totale!D28&gt;=5,Prospetto_totale!J28&gt;=1,Prospetto_totale!D5&lt;=3,Prospetto_totale!U8&gt;100), AND(Prospetto_totale!D28&gt;=6,Prospetto_totale!J28&gt;=1,Prospetto_totale!D5&gt;=4,Prospetto_totale!U8&gt;100), AND(Prospetto_totale!D28&gt;=4,Prospetto_totale!J28&gt;=1,Prospetto_totale!D5&lt;=3,Prospetto_totale!U8&lt;=100,Prospetto_totale!U8&gt;=60), AND(Prospetto_totale!D28&gt;=5,Prospetto_totale!J28&gt;=1,Prospetto_totale!D5&gt;=4,Prospetto_totale!U8&lt;=100,Prospetto_totale!U8&gt;=60), AND(Prospetto_totale!D28&gt;=4,Prospetto_totale!J28&gt;=1,Prospetto_totale!D5&gt;=4,Prospetto_totale!U8&lt;60), AND(Prospetto_totale!D28&gt;=3,Prospetto_totale!J28&gt;=1,Prospetto_totale!D5&lt;=3,Prospetto_totale!U8&lt;60))</f>
        <v>0</v>
      </c>
      <c r="K24" s="8" t="b">
        <f>OR(AND(Prospetto_totale!P28&gt;=7,Prospetto_totale!D5&lt;=3,Prospetto_totale!U8&gt;100),AND(Prospetto_totale!P28&gt;=8,Prospetto_totale!D5&gt;=4,Prospetto_totale!U8&gt;100),AND(Prospetto_totale!P28&gt;=6,Prospetto_totale!D5&lt;=3,Prospetto_totale!U8&lt;=100,Prospetto_totale!U8&gt;=60),AND(Prospetto_totale!P28&gt;=7,Prospetto_totale!D5&gt;=4,Prospetto_totale!U8&lt;=100,Prospetto_totale!U8&gt;=60),AND(Prospetto_totale!P28&gt;=5,Prospetto_totale!D5&lt;=3,Prospetto_totale!U8&lt;60),AND(Prospetto_totale!P28&gt;=6,Prospetto_totale!D5&gt;=4,Prospetto_totale!U8&lt;60))</f>
        <v>0</v>
      </c>
      <c r="L24" s="3" t="b">
        <v>1</v>
      </c>
      <c r="M24" s="27"/>
      <c r="N24" s="27">
        <v>3</v>
      </c>
      <c r="O24" s="22" t="b">
        <v>0</v>
      </c>
      <c r="P24" s="27">
        <v>10</v>
      </c>
      <c r="Q24" s="22" t="b">
        <v>0</v>
      </c>
      <c r="T24" s="13"/>
    </row>
    <row r="25" spans="1:20" x14ac:dyDescent="0.25">
      <c r="B25" s="3">
        <v>4</v>
      </c>
      <c r="C25" s="10">
        <f>IF(AND(G25=TRUE,Prospetto_totale!L35=calcolo!E22),0.05,IF(AND(G25=TRUE,Prospetto_totale!L35=calcolo!E23),0.08,IF(AND(G25=TRUE,Prospetto_totale!L35=calcolo!E24),0.1,IF(G25=FALSE,0,"Err"))))</f>
        <v>0</v>
      </c>
      <c r="D25" s="3" t="s">
        <v>39</v>
      </c>
      <c r="E25" s="7"/>
      <c r="G25" s="13" t="b">
        <v>0</v>
      </c>
      <c r="H25" s="13" t="b">
        <v>0</v>
      </c>
      <c r="I25" s="3">
        <f t="shared" si="0"/>
        <v>0</v>
      </c>
      <c r="J25" s="9" t="s">
        <v>30</v>
      </c>
      <c r="K25" s="9" t="s">
        <v>31</v>
      </c>
      <c r="L25" s="9" t="s">
        <v>32</v>
      </c>
      <c r="M25" s="27"/>
      <c r="N25" s="27">
        <v>4</v>
      </c>
      <c r="O25" s="22" t="b">
        <v>0</v>
      </c>
      <c r="P25" s="27">
        <v>11</v>
      </c>
      <c r="Q25" s="22" t="b">
        <v>0</v>
      </c>
      <c r="T25" s="13"/>
    </row>
    <row r="26" spans="1:20" x14ac:dyDescent="0.25">
      <c r="B26" s="3">
        <v>5</v>
      </c>
      <c r="C26" s="10">
        <f>IF(G26=TRUE,-0.1,0)</f>
        <v>0</v>
      </c>
      <c r="D26" s="3" t="s">
        <v>40</v>
      </c>
      <c r="G26" s="13" t="b">
        <v>0</v>
      </c>
      <c r="H26" s="13" t="b">
        <v>0</v>
      </c>
      <c r="I26" s="3">
        <f t="shared" si="0"/>
        <v>0</v>
      </c>
      <c r="M26" s="27"/>
      <c r="N26" s="27">
        <v>5</v>
      </c>
      <c r="O26" s="22" t="b">
        <v>0</v>
      </c>
      <c r="P26" s="27">
        <v>12</v>
      </c>
      <c r="Q26" s="22" t="b">
        <v>0</v>
      </c>
      <c r="T26" s="13"/>
    </row>
    <row r="27" spans="1:20" x14ac:dyDescent="0.25">
      <c r="B27" s="3">
        <v>6</v>
      </c>
      <c r="C27" s="21">
        <f>SUM(C22:C26)</f>
        <v>0</v>
      </c>
      <c r="D27" s="7"/>
      <c r="M27" s="27"/>
      <c r="N27" s="27">
        <v>6</v>
      </c>
      <c r="O27" s="22" t="b">
        <v>0</v>
      </c>
      <c r="P27" s="27">
        <v>13</v>
      </c>
      <c r="Q27" s="22" t="b">
        <v>0</v>
      </c>
      <c r="T27" s="13"/>
    </row>
    <row r="28" spans="1:20" x14ac:dyDescent="0.25">
      <c r="M28" s="27"/>
      <c r="N28" s="27">
        <v>7</v>
      </c>
      <c r="O28" s="22" t="b">
        <v>0</v>
      </c>
      <c r="P28" s="27">
        <v>14</v>
      </c>
      <c r="Q28" s="22" t="b">
        <v>0</v>
      </c>
      <c r="T28" s="13"/>
    </row>
    <row r="29" spans="1:20" x14ac:dyDescent="0.25">
      <c r="M29" s="27"/>
      <c r="N29" s="27"/>
      <c r="O29" s="27"/>
      <c r="P29" s="27"/>
      <c r="Q29" s="27"/>
      <c r="T29" s="13"/>
    </row>
    <row r="30" spans="1:20" x14ac:dyDescent="0.25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</row>
    <row r="31" spans="1:20" x14ac:dyDescent="0.25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</row>
    <row r="100" spans="702:702" x14ac:dyDescent="0.25">
      <c r="ZZ100" s="46"/>
    </row>
  </sheetData>
  <sheetProtection algorithmName="SHA-512" hashValue="ojqXrLfzEDLCswdqixbQmoH5bASKF/Ee0lf4NJuEfZwkFxDigKdxcxxPcH/+qTfxFOS5GS4dUDR8TypoH35Z9A==" saltValue="HiA3KY+EygUB9mBX2luuxA==" spinCount="100000" sheet="1" objects="1" scenarios="1"/>
  <mergeCells count="8">
    <mergeCell ref="P9:R9"/>
    <mergeCell ref="P7:R7"/>
    <mergeCell ref="P11:R11"/>
    <mergeCell ref="C1:D1"/>
    <mergeCell ref="E1:F1"/>
    <mergeCell ref="G1:H1"/>
    <mergeCell ref="J2:L7"/>
    <mergeCell ref="J10:L15"/>
  </mergeCells>
  <conditionalFormatting sqref="C2:H15">
    <cfRule type="cellIs" dxfId="3" priority="21" operator="equal">
      <formula>$O$9</formula>
    </cfRule>
    <cfRule type="cellIs" dxfId="2" priority="22" operator="equal">
      <formula>$N$9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2</vt:i4>
      </vt:variant>
    </vt:vector>
  </HeadingPairs>
  <TitlesOfParts>
    <vt:vector size="5" baseType="lpstr">
      <vt:lpstr>Prospetto_totale</vt:lpstr>
      <vt:lpstr>Prospetto_parziale</vt:lpstr>
      <vt:lpstr>calcolo</vt:lpstr>
      <vt:lpstr>Prospetto_parziale!Area_stampa</vt:lpstr>
      <vt:lpstr>Prospetto_totale!Area_stampa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Tommaso Bocchietti</cp:lastModifiedBy>
  <cp:lastPrinted>2021-02-17T23:15:02Z</cp:lastPrinted>
  <dcterms:created xsi:type="dcterms:W3CDTF">2020-03-21T14:00:31Z</dcterms:created>
  <dcterms:modified xsi:type="dcterms:W3CDTF">2021-02-22T14:55:49Z</dcterms:modified>
</cp:coreProperties>
</file>